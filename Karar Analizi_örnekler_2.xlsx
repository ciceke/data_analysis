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in\Desktop\KARAR ANALİZİ\2021-2022 Bahar\moodle_yüklenen\"/>
    </mc:Choice>
  </mc:AlternateContent>
  <xr:revisionPtr revIDLastSave="0" documentId="8_{8DB634EB-3CA2-4991-82C1-150607CA17A9}" xr6:coauthVersionLast="47" xr6:coauthVersionMax="47" xr10:uidLastSave="{00000000-0000-0000-0000-000000000000}"/>
  <bookViews>
    <workbookView xWindow="-120" yWindow="-120" windowWidth="20730" windowHeight="11160" xr2:uid="{9D5FA0B5-2CB3-4603-860E-E21519430B83}"/>
  </bookViews>
  <sheets>
    <sheet name="Soru.5.1" sheetId="2" r:id="rId1"/>
    <sheet name="Soru.5.2" sheetId="3" r:id="rId2"/>
    <sheet name="Soru.5.3" sheetId="4" r:id="rId3"/>
    <sheet name="Örn.5.1" sheetId="5" r:id="rId4"/>
    <sheet name="Örn.5.2" sheetId="6" r:id="rId5"/>
    <sheet name="Y araşt.şirketi" sheetId="7" r:id="rId6"/>
  </sheets>
  <externalReferences>
    <externalReference r:id="rId7"/>
  </externalReferences>
  <definedNames>
    <definedName name="solver_adj" localSheetId="4" hidden="1">'Örn.5.2'!$C$3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'Örn.5.2'!$C$3</definedName>
    <definedName name="solver_lhs2" localSheetId="4" hidden="1">'Örn.5.2'!$G$15</definedName>
    <definedName name="solver_mip" localSheetId="4" hidden="1">2147483647</definedName>
    <definedName name="solver_mni" localSheetId="4" hidden="1">30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'Örn.5.2'!$G$13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4" hidden="1">1</definedName>
    <definedName name="solver_rel1" localSheetId="4" hidden="1">1</definedName>
    <definedName name="solver_rel2" localSheetId="4" hidden="1">1</definedName>
    <definedName name="solver_rhs1" localSheetId="4" hidden="1">3000</definedName>
    <definedName name="solver_rhs2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8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H18" i="6" s="1"/>
  <c r="H19" i="6" s="1"/>
  <c r="C17" i="6"/>
  <c r="G18" i="6" s="1"/>
  <c r="G19" i="6" s="1"/>
  <c r="H16" i="6"/>
  <c r="G16" i="6"/>
  <c r="D13" i="6"/>
  <c r="C13" i="6"/>
  <c r="D12" i="6"/>
  <c r="C12" i="6"/>
  <c r="D11" i="6"/>
  <c r="C11" i="6"/>
  <c r="D10" i="6"/>
  <c r="C10" i="6"/>
  <c r="D9" i="6"/>
  <c r="C9" i="6"/>
  <c r="D8" i="6"/>
  <c r="C8" i="6"/>
  <c r="H7" i="6"/>
  <c r="H8" i="6" s="1"/>
  <c r="G7" i="6"/>
  <c r="G8" i="6" s="1"/>
  <c r="D7" i="6"/>
  <c r="C7" i="6"/>
  <c r="H6" i="6"/>
  <c r="H13" i="6" s="1"/>
  <c r="G6" i="6"/>
  <c r="G13" i="6" s="1"/>
  <c r="D6" i="6"/>
  <c r="C6" i="6"/>
  <c r="D26" i="5"/>
  <c r="E26" i="5" s="1"/>
  <c r="C26" i="5"/>
  <c r="B26" i="5"/>
  <c r="D25" i="5"/>
  <c r="E25" i="5" s="1"/>
  <c r="C25" i="5"/>
  <c r="B25" i="5"/>
  <c r="D21" i="5"/>
  <c r="E21" i="5" s="1"/>
  <c r="C21" i="5"/>
  <c r="B21" i="5"/>
  <c r="D20" i="5"/>
  <c r="E20" i="5" s="1"/>
  <c r="C20" i="5"/>
  <c r="B20" i="5"/>
  <c r="D16" i="5"/>
  <c r="E16" i="5" s="1"/>
  <c r="C16" i="5"/>
  <c r="B16" i="5"/>
  <c r="D15" i="5"/>
  <c r="E15" i="5" s="1"/>
  <c r="C15" i="5"/>
  <c r="B15" i="5"/>
  <c r="H10" i="5"/>
  <c r="I10" i="5" s="1"/>
  <c r="J10" i="5" s="1"/>
  <c r="K10" i="5" s="1"/>
  <c r="F8" i="5"/>
  <c r="G8" i="5" s="1"/>
  <c r="H8" i="5" s="1"/>
  <c r="I8" i="5" s="1"/>
  <c r="J8" i="5" s="1"/>
  <c r="K8" i="5" s="1"/>
  <c r="E8" i="5"/>
  <c r="E4" i="5"/>
  <c r="E3" i="5"/>
  <c r="G14" i="4"/>
  <c r="G13" i="4"/>
  <c r="G9" i="4"/>
  <c r="G8" i="4"/>
  <c r="G11" i="4" s="1"/>
  <c r="G4" i="4"/>
  <c r="G3" i="4"/>
  <c r="G6" i="4" s="1"/>
  <c r="E26" i="3"/>
  <c r="D26" i="3"/>
  <c r="G24" i="3"/>
  <c r="G25" i="3" s="1"/>
  <c r="G26" i="3" s="1"/>
  <c r="G23" i="3"/>
  <c r="E21" i="3"/>
  <c r="L10" i="3" s="1"/>
  <c r="D21" i="3"/>
  <c r="G19" i="3" s="1"/>
  <c r="G20" i="3" s="1"/>
  <c r="G18" i="3"/>
  <c r="G21" i="3" s="1"/>
  <c r="E16" i="3"/>
  <c r="D16" i="3"/>
  <c r="L3" i="3" s="1"/>
  <c r="G14" i="3"/>
  <c r="G15" i="3" s="1"/>
  <c r="G16" i="3" s="1"/>
  <c r="G13" i="3"/>
  <c r="L11" i="3"/>
  <c r="E11" i="3"/>
  <c r="G9" i="3" s="1"/>
  <c r="G10" i="3" s="1"/>
  <c r="D11" i="3"/>
  <c r="L9" i="3"/>
  <c r="G8" i="3"/>
  <c r="L7" i="3"/>
  <c r="E6" i="3"/>
  <c r="L8" i="3" s="1"/>
  <c r="D6" i="3"/>
  <c r="L6" i="3" s="1"/>
  <c r="L5" i="3"/>
  <c r="G4" i="3"/>
  <c r="G5" i="3" s="1"/>
  <c r="G3" i="3"/>
  <c r="C7" i="2"/>
  <c r="C6" i="2"/>
  <c r="C5" i="2"/>
  <c r="F5" i="2" s="1"/>
  <c r="F6" i="2" s="1"/>
  <c r="F8" i="2" s="1"/>
  <c r="C4" i="2"/>
  <c r="F3" i="2"/>
  <c r="N9" i="7"/>
  <c r="N8" i="7"/>
  <c r="O9" i="7"/>
  <c r="M9" i="7"/>
  <c r="M8" i="7"/>
  <c r="O8" i="7"/>
  <c r="O11" i="7" l="1"/>
  <c r="M11" i="7"/>
  <c r="M12" i="7"/>
  <c r="O12" i="7"/>
  <c r="N11" i="7"/>
  <c r="N12" i="7"/>
  <c r="G11" i="3"/>
  <c r="G24" i="6"/>
  <c r="G6" i="3"/>
  <c r="H24" i="6"/>
  <c r="L4" i="3"/>
  <c r="Q12" i="7" l="1"/>
  <c r="M15" i="7" s="1"/>
  <c r="N15" i="7"/>
  <c r="M14" i="7"/>
  <c r="Q11" i="7"/>
  <c r="N14" i="7"/>
  <c r="O14" i="7"/>
  <c r="O15" i="7" l="1"/>
</calcChain>
</file>

<file path=xl/sharedStrings.xml><?xml version="1.0" encoding="utf-8"?>
<sst xmlns="http://schemas.openxmlformats.org/spreadsheetml/2006/main" count="204" uniqueCount="64">
  <si>
    <t>R:</t>
  </si>
  <si>
    <t>P(x)</t>
  </si>
  <si>
    <t>x</t>
  </si>
  <si>
    <t>Fayda</t>
  </si>
  <si>
    <t>Beklenen Değer</t>
  </si>
  <si>
    <t>Beklenen Fayda</t>
  </si>
  <si>
    <t>Kesinlik Eşleniği</t>
  </si>
  <si>
    <t>Risk Primi :</t>
  </si>
  <si>
    <t>Üstel Fayda Fonk</t>
  </si>
  <si>
    <t>Başarılı</t>
  </si>
  <si>
    <t>Başarısız</t>
  </si>
  <si>
    <t>Beklenen Kazanç</t>
  </si>
  <si>
    <t>İkili Görüşme</t>
  </si>
  <si>
    <t>Kazanç (km2)</t>
  </si>
  <si>
    <t>Kesinlik Eşdeğeri</t>
  </si>
  <si>
    <t>Risk Primi</t>
  </si>
  <si>
    <t>Olumlu Sonuç</t>
  </si>
  <si>
    <t>Olumsuz Sonuç</t>
  </si>
  <si>
    <t>Adalet Divanı</t>
  </si>
  <si>
    <t>Hemen Çıkarma</t>
  </si>
  <si>
    <t>Hazırlıklı Çıkarma</t>
  </si>
  <si>
    <t>Tavırsız Kalma</t>
  </si>
  <si>
    <t>Kur Yükselir</t>
  </si>
  <si>
    <t>Kur Düşer</t>
  </si>
  <si>
    <t>Döviz</t>
  </si>
  <si>
    <t>Kazanç (TL)</t>
  </si>
  <si>
    <t>Borsa Yükselir</t>
  </si>
  <si>
    <t>Borsa Düşer</t>
  </si>
  <si>
    <t>Borsa</t>
  </si>
  <si>
    <t>Faiz Yükselir</t>
  </si>
  <si>
    <t>Faiz Düşer</t>
  </si>
  <si>
    <t>Vadeli Mevduat</t>
  </si>
  <si>
    <t>Daha İyi</t>
  </si>
  <si>
    <t>Aynı</t>
  </si>
  <si>
    <t>Daha Kötü</t>
  </si>
  <si>
    <t>A</t>
  </si>
  <si>
    <t>B</t>
  </si>
  <si>
    <t>Fayda Fonksiyonu</t>
  </si>
  <si>
    <t>Karar Verici</t>
  </si>
  <si>
    <t>KV1</t>
  </si>
  <si>
    <t>KV2</t>
  </si>
  <si>
    <t>KV3</t>
  </si>
  <si>
    <t>Üstel</t>
  </si>
  <si>
    <t>Karekök</t>
  </si>
  <si>
    <t>R</t>
  </si>
  <si>
    <t>a</t>
  </si>
  <si>
    <t>U1</t>
  </si>
  <si>
    <t>U2</t>
  </si>
  <si>
    <t>Tarih</t>
  </si>
  <si>
    <t>Pazar Araştırması Sonucu</t>
  </si>
  <si>
    <t>Gerçekleşen Talep</t>
  </si>
  <si>
    <t>Olumsuz (-)</t>
  </si>
  <si>
    <t>Düşük</t>
  </si>
  <si>
    <t>Say Tarih</t>
  </si>
  <si>
    <t>Yüksek</t>
  </si>
  <si>
    <t>Orta</t>
  </si>
  <si>
    <t>Genel Toplam</t>
  </si>
  <si>
    <t>Prior (Önsel)</t>
  </si>
  <si>
    <t>Olumlu (+)</t>
  </si>
  <si>
    <t>Olumlu</t>
  </si>
  <si>
    <t>Likelihood</t>
  </si>
  <si>
    <t>Olumsuz</t>
  </si>
  <si>
    <t>Evidence</t>
  </si>
  <si>
    <t>Posterior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</si>
</sst>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"/>
    <numFmt numFmtId="166" formatCode="0.000000"/>
    <numFmt numFmtId="167" formatCode="0.0000000"/>
    <numFmt numFmtId="168" formatCode="0.00000"/>
    <numFmt numFmtId="169" formatCode="0.000"/>
    <numFmt numFmtId="170" formatCode="0.0%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3" fillId="0" borderId="0" xfId="1"/>
    <xf numFmtId="0" fontId="3" fillId="0" borderId="0" xfId="1" applyAlignment="1">
      <alignment horizontal="right"/>
    </xf>
    <xf numFmtId="0" fontId="2" fillId="0" borderId="0" xfId="1" applyFont="1" applyAlignment="1">
      <alignment horizontal="right"/>
    </xf>
    <xf numFmtId="0" fontId="4" fillId="0" borderId="0" xfId="1" applyFont="1"/>
    <xf numFmtId="0" fontId="2" fillId="0" borderId="0" xfId="1" applyFont="1"/>
    <xf numFmtId="2" fontId="1" fillId="0" borderId="0" xfId="1" applyNumberFormat="1" applyFont="1"/>
    <xf numFmtId="0" fontId="1" fillId="0" borderId="0" xfId="1" applyFont="1"/>
    <xf numFmtId="0" fontId="3" fillId="0" borderId="1" xfId="1" applyBorder="1"/>
    <xf numFmtId="0" fontId="2" fillId="0" borderId="1" xfId="1" applyFont="1" applyBorder="1" applyAlignment="1">
      <alignment horizontal="right"/>
    </xf>
    <xf numFmtId="164" fontId="3" fillId="0" borderId="0" xfId="1" applyNumberFormat="1"/>
    <xf numFmtId="164" fontId="1" fillId="0" borderId="0" xfId="1" applyNumberFormat="1" applyFont="1" applyAlignment="1">
      <alignment horizontal="right"/>
    </xf>
    <xf numFmtId="0" fontId="2" fillId="0" borderId="1" xfId="1" applyFont="1" applyBorder="1"/>
    <xf numFmtId="0" fontId="3" fillId="0" borderId="1" xfId="1" applyBorder="1" applyAlignment="1">
      <alignment horizontal="right"/>
    </xf>
    <xf numFmtId="164" fontId="3" fillId="0" borderId="1" xfId="1" applyNumberForma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5" fillId="0" borderId="0" xfId="1" applyFont="1"/>
    <xf numFmtId="165" fontId="3" fillId="0" borderId="1" xfId="1" applyNumberFormat="1" applyBorder="1" applyAlignment="1">
      <alignment horizontal="right"/>
    </xf>
    <xf numFmtId="0" fontId="1" fillId="0" borderId="0" xfId="1" applyFont="1" applyAlignment="1">
      <alignment horizontal="right"/>
    </xf>
    <xf numFmtId="0" fontId="3" fillId="0" borderId="1" xfId="1" applyBorder="1" applyAlignment="1">
      <alignment horizontal="center"/>
    </xf>
    <xf numFmtId="0" fontId="3" fillId="0" borderId="0" xfId="1" applyAlignment="1">
      <alignment horizontal="center"/>
    </xf>
    <xf numFmtId="0" fontId="3" fillId="0" borderId="2" xfId="1" applyBorder="1"/>
    <xf numFmtId="0" fontId="3" fillId="0" borderId="2" xfId="1" applyBorder="1" applyAlignment="1">
      <alignment horizontal="center"/>
    </xf>
    <xf numFmtId="2" fontId="3" fillId="0" borderId="0" xfId="1" applyNumberFormat="1"/>
    <xf numFmtId="2" fontId="3" fillId="0" borderId="0" xfId="1" applyNumberFormat="1" applyAlignment="1">
      <alignment horizontal="right"/>
    </xf>
    <xf numFmtId="2" fontId="3" fillId="0" borderId="2" xfId="1" applyNumberFormat="1" applyBorder="1"/>
    <xf numFmtId="2" fontId="3" fillId="0" borderId="2" xfId="1" applyNumberFormat="1" applyBorder="1" applyAlignment="1">
      <alignment horizontal="right"/>
    </xf>
    <xf numFmtId="166" fontId="3" fillId="0" borderId="0" xfId="1" applyNumberFormat="1" applyAlignment="1">
      <alignment horizontal="right"/>
    </xf>
    <xf numFmtId="167" fontId="3" fillId="0" borderId="0" xfId="1" applyNumberFormat="1" applyAlignment="1">
      <alignment horizontal="right"/>
    </xf>
    <xf numFmtId="168" fontId="3" fillId="0" borderId="0" xfId="1" applyNumberFormat="1"/>
    <xf numFmtId="164" fontId="3" fillId="2" borderId="0" xfId="1" applyNumberFormat="1" applyFill="1"/>
    <xf numFmtId="164" fontId="3" fillId="3" borderId="0" xfId="1" applyNumberFormat="1" applyFill="1"/>
    <xf numFmtId="164" fontId="1" fillId="0" borderId="0" xfId="1" applyNumberFormat="1" applyFont="1"/>
    <xf numFmtId="166" fontId="3" fillId="0" borderId="0" xfId="1" applyNumberFormat="1"/>
    <xf numFmtId="164" fontId="3" fillId="0" borderId="0" xfId="1" applyNumberFormat="1" applyAlignment="1">
      <alignment horizontal="right"/>
    </xf>
    <xf numFmtId="0" fontId="2" fillId="0" borderId="0" xfId="1" applyFont="1" applyAlignment="1">
      <alignment horizontal="left"/>
    </xf>
    <xf numFmtId="14" fontId="3" fillId="0" borderId="0" xfId="1" applyNumberFormat="1" applyAlignment="1">
      <alignment horizontal="left"/>
    </xf>
    <xf numFmtId="0" fontId="2" fillId="0" borderId="0" xfId="1" applyFont="1" applyAlignment="1">
      <alignment horizontal="center"/>
    </xf>
    <xf numFmtId="169" fontId="3" fillId="0" borderId="0" xfId="1" applyNumberFormat="1"/>
    <xf numFmtId="170" fontId="3" fillId="0" borderId="0" xfId="1" applyNumberForma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Alignment="1">
      <alignment horizontal="left"/>
    </xf>
  </cellXfs>
  <cellStyles count="2">
    <cellStyle name="Normal" xfId="0" builtinId="0"/>
    <cellStyle name="Normal 2" xfId="1" xr:uid="{5CF988BA-C26F-4C01-AE63-8D66BC6D15EF}"/>
  </cellStyles>
  <dxfs count="1">
    <dxf>
      <numFmt numFmtId="170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R=1210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'Soru.5.1'!$B$4:$B$7</c:f>
              <c:numCache>
                <c:formatCode>Genel</c:formatCode>
                <c:ptCount val="4"/>
                <c:pt idx="0">
                  <c:v>-1250</c:v>
                </c:pt>
                <c:pt idx="1">
                  <c:v>0</c:v>
                </c:pt>
                <c:pt idx="2">
                  <c:v>800</c:v>
                </c:pt>
                <c:pt idx="3">
                  <c:v>1000</c:v>
                </c:pt>
              </c:numCache>
            </c:numRef>
          </c:xVal>
          <c:yVal>
            <c:numRef>
              <c:f>'Soru.5.1'!$C$4:$C$7</c:f>
              <c:numCache>
                <c:formatCode>Genel</c:formatCode>
                <c:ptCount val="4"/>
                <c:pt idx="0">
                  <c:v>-1.8096441863113757</c:v>
                </c:pt>
                <c:pt idx="1">
                  <c:v>0</c:v>
                </c:pt>
                <c:pt idx="2">
                  <c:v>0.48374632949410401</c:v>
                </c:pt>
                <c:pt idx="3">
                  <c:v>0.56239836036108937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5-41BA-80DE-EF4E4BDE3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559504"/>
        <c:axId val="529563664"/>
      </c:scatterChart>
      <c:valAx>
        <c:axId val="52955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9563664"/>
        <c:crosses val="autoZero"/>
        <c:crossBetween val="midCat"/>
      </c:valAx>
      <c:valAx>
        <c:axId val="52956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955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'Soru.5.2'!$K$3:$K$9</c:f>
              <c:numCache>
                <c:formatCode>Genel</c:formatCode>
                <c:ptCount val="7"/>
                <c:pt idx="0">
                  <c:v>10000</c:v>
                </c:pt>
                <c:pt idx="1">
                  <c:v>6000</c:v>
                </c:pt>
                <c:pt idx="2">
                  <c:v>5000</c:v>
                </c:pt>
                <c:pt idx="3">
                  <c:v>2000</c:v>
                </c:pt>
                <c:pt idx="4">
                  <c:v>0</c:v>
                </c:pt>
                <c:pt idx="5">
                  <c:v>-1000</c:v>
                </c:pt>
                <c:pt idx="6">
                  <c:v>-1500</c:v>
                </c:pt>
              </c:numCache>
            </c:numRef>
          </c:xVal>
          <c:yVal>
            <c:numRef>
              <c:f>'Soru.5.2'!$L$3:$L$9</c:f>
              <c:numCache>
                <c:formatCode>0.0000</c:formatCode>
                <c:ptCount val="7"/>
                <c:pt idx="0">
                  <c:v>0.99326205300091452</c:v>
                </c:pt>
                <c:pt idx="1">
                  <c:v>0.95021293163213605</c:v>
                </c:pt>
                <c:pt idx="2">
                  <c:v>0.91791500137610116</c:v>
                </c:pt>
                <c:pt idx="3">
                  <c:v>0.63212055882855767</c:v>
                </c:pt>
                <c:pt idx="4">
                  <c:v>0</c:v>
                </c:pt>
                <c:pt idx="5">
                  <c:v>-0.64872127070012819</c:v>
                </c:pt>
                <c:pt idx="6">
                  <c:v>-1.1170000166126748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6D-42B1-B338-C282661E7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284447"/>
        <c:axId val="817268639"/>
      </c:scatterChart>
      <c:valAx>
        <c:axId val="81728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7268639"/>
        <c:crosses val="autoZero"/>
        <c:crossBetween val="midCat"/>
      </c:valAx>
      <c:valAx>
        <c:axId val="81726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7284447"/>
        <c:crossesAt val="-40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'Soru.5.3'!$K$3:$K$9</c:f>
              <c:numCache>
                <c:formatCode>Genel</c:formatCode>
                <c:ptCount val="7"/>
                <c:pt idx="0">
                  <c:v>150</c:v>
                </c:pt>
                <c:pt idx="1">
                  <c:v>100</c:v>
                </c:pt>
                <c:pt idx="2">
                  <c:v>80</c:v>
                </c:pt>
                <c:pt idx="3">
                  <c:v>20</c:v>
                </c:pt>
                <c:pt idx="4">
                  <c:v>-25</c:v>
                </c:pt>
                <c:pt idx="5">
                  <c:v>-40</c:v>
                </c:pt>
              </c:numCache>
            </c:numRef>
          </c:xVal>
          <c:yVal>
            <c:numRef>
              <c:f>'Soru.5.3'!$L$3:$L$9</c:f>
              <c:numCache>
                <c:formatCode>0.0000</c:formatCode>
                <c:ptCount val="7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0.5</c:v>
                </c:pt>
                <c:pt idx="4">
                  <c:v>0.2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2-4DEC-823F-429791C2B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284447"/>
        <c:axId val="817268639"/>
      </c:scatterChart>
      <c:valAx>
        <c:axId val="81728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7268639"/>
        <c:crosses val="autoZero"/>
        <c:crossBetween val="midCat"/>
        <c:majorUnit val="10"/>
      </c:valAx>
      <c:valAx>
        <c:axId val="81726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7284447"/>
        <c:crossesAt val="-40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Fayda Fonksiyonları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2541666666666668"/>
          <c:w val="0.88389129483814521"/>
          <c:h val="0.66128062117235342"/>
        </c:manualLayout>
      </c:layout>
      <c:lineChart>
        <c:grouping val="standard"/>
        <c:varyColors val="0"/>
        <c:ser>
          <c:idx val="0"/>
          <c:order val="0"/>
          <c:tx>
            <c:strRef>
              <c:f>'Örn.5.1'!$A$8</c:f>
              <c:strCache>
                <c:ptCount val="1"/>
                <c:pt idx="0">
                  <c:v>KV1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'Örn.5.1'!$B$7:$L$7</c:f>
              <c:numCache>
                <c:formatCode>Genel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'Örn.5.1'!$B$8:$L$8</c:f>
              <c:numCache>
                <c:formatCode>0.00</c:formatCode>
                <c:ptCount val="1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0.65</c:v>
                </c:pt>
                <c:pt idx="4">
                  <c:v>0.70000000000000007</c:v>
                </c:pt>
                <c:pt idx="5">
                  <c:v>0.75000000000000011</c:v>
                </c:pt>
                <c:pt idx="6">
                  <c:v>0.80000000000000016</c:v>
                </c:pt>
                <c:pt idx="7">
                  <c:v>0.8500000000000002</c:v>
                </c:pt>
                <c:pt idx="8">
                  <c:v>0.90000000000000024</c:v>
                </c:pt>
                <c:pt idx="9">
                  <c:v>0.95000000000000029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8-438D-8E3B-EB67FEEED99A}"/>
            </c:ext>
          </c:extLst>
        </c:ser>
        <c:ser>
          <c:idx val="2"/>
          <c:order val="1"/>
          <c:tx>
            <c:strRef>
              <c:f>'Örn.5.1'!$A$9</c:f>
              <c:strCache>
                <c:ptCount val="1"/>
                <c:pt idx="0">
                  <c:v>KV2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'Örn.5.1'!$B$7:$L$7</c:f>
              <c:numCache>
                <c:formatCode>Genel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'Örn.5.1'!$B$9:$L$9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8-438D-8E3B-EB67FEEED99A}"/>
            </c:ext>
          </c:extLst>
        </c:ser>
        <c:ser>
          <c:idx val="3"/>
          <c:order val="2"/>
          <c:tx>
            <c:strRef>
              <c:f>'Örn.5.1'!$A$10</c:f>
              <c:strCache>
                <c:ptCount val="1"/>
                <c:pt idx="0">
                  <c:v>KV3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'Örn.5.1'!$B$7:$L$7</c:f>
              <c:numCache>
                <c:formatCode>Genel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'Örn.5.1'!$B$10:$L$10</c:f>
              <c:numCache>
                <c:formatCode>0.00</c:formatCode>
                <c:ptCount val="1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0.36</c:v>
                </c:pt>
                <c:pt idx="7">
                  <c:v>0.52</c:v>
                </c:pt>
                <c:pt idx="8">
                  <c:v>0.68</c:v>
                </c:pt>
                <c:pt idx="9">
                  <c:v>0.84000000000000008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8-438D-8E3B-EB67FEEED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393072"/>
        <c:axId val="775393904"/>
      </c:lineChart>
      <c:catAx>
        <c:axId val="77539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5393904"/>
        <c:crosses val="autoZero"/>
        <c:auto val="1"/>
        <c:lblAlgn val="ctr"/>
        <c:lblOffset val="100"/>
        <c:noMultiLvlLbl val="0"/>
      </c:catAx>
      <c:valAx>
        <c:axId val="775393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539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720311955987882E-2"/>
          <c:y val="5.0925925925925923E-2"/>
          <c:w val="0.91872160805069414"/>
          <c:h val="0.790748760571595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'Örn.5.2'!$C$5</c:f>
              <c:strCache>
                <c:ptCount val="1"/>
                <c:pt idx="0">
                  <c:v>U1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'Örn.5.2'!$B$6:$B$13</c:f>
              <c:numCache>
                <c:formatCode>Genel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</c:numCache>
            </c:numRef>
          </c:xVal>
          <c:yVal>
            <c:numRef>
              <c:f>'Örn.5.2'!$C$6:$C$13</c:f>
              <c:numCache>
                <c:formatCode>0.00000</c:formatCode>
                <c:ptCount val="5"/>
                <c:pt idx="0">
                  <c:v>0</c:v>
                </c:pt>
                <c:pt idx="1">
                  <c:v>8.7891494036040241E-2</c:v>
                </c:pt>
                <c:pt idx="2">
                  <c:v>0.36870473923174707</c:v>
                </c:pt>
                <c:pt idx="3">
                  <c:v>0.60146629373154359</c:v>
                </c:pt>
                <c:pt idx="4">
                  <c:v>0.98994631462141369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A-4580-89E9-44F973E4999A}"/>
            </c:ext>
          </c:extLst>
        </c:ser>
        <c:ser>
          <c:idx val="1"/>
          <c:order val="1"/>
          <c:tx>
            <c:strRef>
              <c:f>'Örn.5.2'!$D$5</c:f>
              <c:strCache>
                <c:ptCount val="1"/>
                <c:pt idx="0">
                  <c:v>U2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'Örn.5.2'!$B$6:$B$13</c:f>
              <c:numCache>
                <c:formatCode>Genel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</c:numCache>
            </c:numRef>
          </c:xVal>
          <c:yVal>
            <c:numRef>
              <c:f>'Örn.5.2'!$D$6:$D$13</c:f>
              <c:numCache>
                <c:formatCode>0.00000</c:formatCode>
                <c:ptCount val="5"/>
                <c:pt idx="0">
                  <c:v>0</c:v>
                </c:pt>
                <c:pt idx="1">
                  <c:v>0.14000000000000001</c:v>
                </c:pt>
                <c:pt idx="2">
                  <c:v>0.31304951684997057</c:v>
                </c:pt>
                <c:pt idx="3">
                  <c:v>0.44271887242357311</c:v>
                </c:pt>
                <c:pt idx="4">
                  <c:v>0.98994949366116658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BA-4580-89E9-44F973E49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559504"/>
        <c:axId val="529563664"/>
      </c:scatterChart>
      <c:valAx>
        <c:axId val="52955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9563664"/>
        <c:crosses val="autoZero"/>
        <c:crossBetween val="midCat"/>
        <c:majorUnit val="200"/>
      </c:valAx>
      <c:valAx>
        <c:axId val="52956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95595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74627256764368"/>
          <c:y val="0.27825641586468358"/>
          <c:w val="0.1354660913634168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161925</xdr:rowOff>
    </xdr:from>
    <xdr:to>
      <xdr:col>13</xdr:col>
      <xdr:colOff>295275</xdr:colOff>
      <xdr:row>15</xdr:row>
      <xdr:rowOff>47625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6C4C3FB-66CC-46DC-8E44-5D0B6C96E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11</xdr:row>
      <xdr:rowOff>133350</xdr:rowOff>
    </xdr:from>
    <xdr:to>
      <xdr:col>16</xdr:col>
      <xdr:colOff>600075</xdr:colOff>
      <xdr:row>26</xdr:row>
      <xdr:rowOff>19050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980C77C-A7D6-4B5E-ADD9-97696108B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11</xdr:row>
      <xdr:rowOff>133350</xdr:rowOff>
    </xdr:from>
    <xdr:to>
      <xdr:col>16</xdr:col>
      <xdr:colOff>600075</xdr:colOff>
      <xdr:row>21</xdr:row>
      <xdr:rowOff>133350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26A7A90-8785-4F5B-8F4D-6B4A93A6E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3</xdr:row>
      <xdr:rowOff>76200</xdr:rowOff>
    </xdr:from>
    <xdr:to>
      <xdr:col>19</xdr:col>
      <xdr:colOff>476250</xdr:colOff>
      <xdr:row>16</xdr:row>
      <xdr:rowOff>152400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5E3277C-0B83-400F-BF85-C6D6474B1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13</xdr:row>
      <xdr:rowOff>47625</xdr:rowOff>
    </xdr:from>
    <xdr:to>
      <xdr:col>11</xdr:col>
      <xdr:colOff>243148</xdr:colOff>
      <xdr:row>15</xdr:row>
      <xdr:rowOff>189845</xdr:rowOff>
    </xdr:to>
    <xdr:sp macro="" textlink="">
      <xdr:nvSpPr>
        <xdr:cNvPr id="3" name="Metin kutusu 61">
          <a:extLst>
            <a:ext uri="{FF2B5EF4-FFF2-40B4-BE49-F238E27FC236}">
              <a16:creationId xmlns:a16="http://schemas.microsoft.com/office/drawing/2014/main" id="{BBDD6A56-4274-4A0D-A597-5FEF08CD3063}"/>
            </a:ext>
          </a:extLst>
        </xdr:cNvPr>
        <xdr:cNvSpPr txBox="1"/>
      </xdr:nvSpPr>
      <xdr:spPr>
        <a:xfrm>
          <a:off x="4648200" y="2524125"/>
          <a:ext cx="3272098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360363"/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tr-TR" sz="1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1 </a:t>
          </a:r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(x) = 	0.6 x				,	x ≤ 10</a:t>
          </a:r>
        </a:p>
        <a:p>
          <a:pPr defTabSz="360363"/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		0.5 + 0.01 x		,	x &gt; 10</a:t>
          </a:r>
          <a:endParaRPr lang="en-US" sz="14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142875</xdr:colOff>
      <xdr:row>18</xdr:row>
      <xdr:rowOff>72939</xdr:rowOff>
    </xdr:from>
    <xdr:to>
      <xdr:col>11</xdr:col>
      <xdr:colOff>224098</xdr:colOff>
      <xdr:row>19</xdr:row>
      <xdr:rowOff>190216</xdr:rowOff>
    </xdr:to>
    <xdr:sp macro="" textlink="">
      <xdr:nvSpPr>
        <xdr:cNvPr id="4" name="Metin kutusu 65">
          <a:extLst>
            <a:ext uri="{FF2B5EF4-FFF2-40B4-BE49-F238E27FC236}">
              <a16:creationId xmlns:a16="http://schemas.microsoft.com/office/drawing/2014/main" id="{7E852882-DAE1-4DD1-B505-618ABEE6A58A}"/>
            </a:ext>
          </a:extLst>
        </xdr:cNvPr>
        <xdr:cNvSpPr txBox="1"/>
      </xdr:nvSpPr>
      <xdr:spPr>
        <a:xfrm>
          <a:off x="4629150" y="3501939"/>
          <a:ext cx="3272098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360363"/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U2</a:t>
          </a:r>
          <a:r>
            <a:rPr lang="tr-TR" sz="1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(x) = 	0.02 x			</a:t>
          </a:r>
          <a:endParaRPr lang="en-US" sz="14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102918</xdr:colOff>
      <xdr:row>22</xdr:row>
      <xdr:rowOff>153497</xdr:rowOff>
    </xdr:from>
    <xdr:to>
      <xdr:col>11</xdr:col>
      <xdr:colOff>184141</xdr:colOff>
      <xdr:row>25</xdr:row>
      <xdr:rowOff>105217</xdr:rowOff>
    </xdr:to>
    <xdr:sp macro="" textlink="">
      <xdr:nvSpPr>
        <xdr:cNvPr id="5" name="Metin kutusu 67">
          <a:extLst>
            <a:ext uri="{FF2B5EF4-FFF2-40B4-BE49-F238E27FC236}">
              <a16:creationId xmlns:a16="http://schemas.microsoft.com/office/drawing/2014/main" id="{F2B4A823-2551-476D-9E5F-D3D102403605}"/>
            </a:ext>
          </a:extLst>
        </xdr:cNvPr>
        <xdr:cNvSpPr txBox="1"/>
      </xdr:nvSpPr>
      <xdr:spPr>
        <a:xfrm>
          <a:off x="4589193" y="4344497"/>
          <a:ext cx="3272098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360363"/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tr-TR" sz="1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3 </a:t>
          </a:r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(x) = 	0.008 x			,	x ≤ 25</a:t>
          </a:r>
        </a:p>
        <a:p>
          <a:pPr defTabSz="360363"/>
          <a:r>
            <a:rPr lang="tr-T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		-0.6 + 0.032 x		,	x &gt; 25</a:t>
          </a:r>
          <a:endParaRPr lang="en-US" sz="14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333374</xdr:colOff>
      <xdr:row>2</xdr:row>
      <xdr:rowOff>152400</xdr:rowOff>
    </xdr:from>
    <xdr:to>
      <xdr:col>19</xdr:col>
      <xdr:colOff>523875</xdr:colOff>
      <xdr:row>20</xdr:row>
      <xdr:rowOff>38100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DC065EB-BE15-4588-B60A-0FA09258B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ngin/Desktop/KARAR%20ANAL&#304;Z&#304;/2021-2022%20Bahar/Karar%20Analiz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Belirsizlik Altında Karar"/>
      <sheetName val="Örn.1"/>
      <sheetName val="Soru.2.1"/>
      <sheetName val="Soru.2.3"/>
      <sheetName val="Soru.2.5"/>
      <sheetName val="Soru.2.7"/>
      <sheetName val="3.Olasılık Dağ."/>
      <sheetName val="Soru.3.8"/>
      <sheetName val="4.Risk Altında Karar"/>
      <sheetName val="Örn.4.1"/>
      <sheetName val="Örn.4.2"/>
      <sheetName val="Örn.4.3"/>
      <sheetName val="thompsonlumber"/>
      <sheetName val="X araşt.şirketi"/>
      <sheetName val="Y araşt.şirketi"/>
      <sheetName val="Soru.4.2"/>
      <sheetName val="Soru.4.3"/>
      <sheetName val="Soru.4.4"/>
      <sheetName val="Soru.4.5"/>
      <sheetName val="5.Fayda"/>
      <sheetName val="Soru.5.1"/>
      <sheetName val="Soru.5.2"/>
      <sheetName val="Soru.5.3"/>
      <sheetName val="Örn.5.1"/>
      <sheetName val="Örn.5.2"/>
      <sheetName val="6.ÇKKV"/>
      <sheetName val="Soru.6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B4">
            <v>-1250</v>
          </cell>
          <cell r="C4">
            <v>-1.8096441863113757</v>
          </cell>
        </row>
        <row r="5">
          <cell r="B5">
            <v>0</v>
          </cell>
          <cell r="C5">
            <v>0</v>
          </cell>
        </row>
        <row r="6">
          <cell r="B6">
            <v>800</v>
          </cell>
          <cell r="C6">
            <v>0.48374632949410401</v>
          </cell>
        </row>
        <row r="7">
          <cell r="B7">
            <v>1000</v>
          </cell>
          <cell r="C7">
            <v>0.56239836036108937</v>
          </cell>
        </row>
      </sheetData>
      <sheetData sheetId="21">
        <row r="3">
          <cell r="K3">
            <v>10000</v>
          </cell>
          <cell r="L3">
            <v>0.99326205300091452</v>
          </cell>
        </row>
        <row r="4">
          <cell r="K4">
            <v>6000</v>
          </cell>
          <cell r="L4">
            <v>0.95021293163213605</v>
          </cell>
        </row>
        <row r="5">
          <cell r="K5">
            <v>5000</v>
          </cell>
          <cell r="L5">
            <v>0.91791500137610116</v>
          </cell>
        </row>
        <row r="6">
          <cell r="K6">
            <v>2000</v>
          </cell>
          <cell r="L6">
            <v>0.63212055882855767</v>
          </cell>
        </row>
        <row r="7">
          <cell r="K7">
            <v>0</v>
          </cell>
          <cell r="L7">
            <v>0</v>
          </cell>
        </row>
        <row r="8">
          <cell r="K8">
            <v>-1000</v>
          </cell>
          <cell r="L8">
            <v>-0.64872127070012819</v>
          </cell>
        </row>
        <row r="9">
          <cell r="K9">
            <v>-1500</v>
          </cell>
          <cell r="L9">
            <v>-1.1170000166126748</v>
          </cell>
        </row>
      </sheetData>
      <sheetData sheetId="22">
        <row r="3">
          <cell r="K3">
            <v>150</v>
          </cell>
          <cell r="L3">
            <v>1</v>
          </cell>
        </row>
        <row r="4">
          <cell r="K4">
            <v>100</v>
          </cell>
          <cell r="L4">
            <v>0.9</v>
          </cell>
        </row>
        <row r="5">
          <cell r="K5">
            <v>80</v>
          </cell>
          <cell r="L5">
            <v>0.8</v>
          </cell>
        </row>
        <row r="6">
          <cell r="K6">
            <v>20</v>
          </cell>
          <cell r="L6">
            <v>0.5</v>
          </cell>
        </row>
        <row r="7">
          <cell r="K7">
            <v>-25</v>
          </cell>
          <cell r="L7">
            <v>0.2</v>
          </cell>
        </row>
        <row r="8">
          <cell r="K8">
            <v>-40</v>
          </cell>
          <cell r="L8">
            <v>0</v>
          </cell>
        </row>
      </sheetData>
      <sheetData sheetId="23">
        <row r="7">
          <cell r="B7">
            <v>0</v>
          </cell>
          <cell r="C7">
            <v>5</v>
          </cell>
          <cell r="D7">
            <v>10</v>
          </cell>
          <cell r="E7">
            <v>15</v>
          </cell>
          <cell r="F7">
            <v>20</v>
          </cell>
          <cell r="G7">
            <v>25</v>
          </cell>
          <cell r="H7">
            <v>30</v>
          </cell>
          <cell r="I7">
            <v>35</v>
          </cell>
          <cell r="J7">
            <v>40</v>
          </cell>
          <cell r="K7">
            <v>45</v>
          </cell>
          <cell r="L7">
            <v>50</v>
          </cell>
        </row>
        <row r="8">
          <cell r="A8" t="str">
            <v>KV1</v>
          </cell>
          <cell r="B8">
            <v>0</v>
          </cell>
          <cell r="C8">
            <v>0.3</v>
          </cell>
          <cell r="D8">
            <v>0.6</v>
          </cell>
          <cell r="E8">
            <v>0.65</v>
          </cell>
          <cell r="F8">
            <v>0.70000000000000007</v>
          </cell>
          <cell r="G8">
            <v>0.75000000000000011</v>
          </cell>
          <cell r="H8">
            <v>0.80000000000000016</v>
          </cell>
          <cell r="I8">
            <v>0.8500000000000002</v>
          </cell>
          <cell r="J8">
            <v>0.90000000000000024</v>
          </cell>
          <cell r="K8">
            <v>0.95000000000000029</v>
          </cell>
          <cell r="L8">
            <v>1</v>
          </cell>
        </row>
        <row r="9">
          <cell r="A9" t="str">
            <v>KV2</v>
          </cell>
          <cell r="B9">
            <v>0</v>
          </cell>
          <cell r="C9">
            <v>0.1</v>
          </cell>
          <cell r="D9">
            <v>0.2</v>
          </cell>
          <cell r="E9">
            <v>0.3</v>
          </cell>
          <cell r="F9">
            <v>0.4</v>
          </cell>
          <cell r="G9">
            <v>0.5</v>
          </cell>
          <cell r="H9">
            <v>0.6</v>
          </cell>
          <cell r="I9">
            <v>0.7</v>
          </cell>
          <cell r="J9">
            <v>0.8</v>
          </cell>
          <cell r="K9">
            <v>0.9</v>
          </cell>
          <cell r="L9">
            <v>1</v>
          </cell>
        </row>
        <row r="10">
          <cell r="A10" t="str">
            <v>KV3</v>
          </cell>
          <cell r="B10">
            <v>0</v>
          </cell>
          <cell r="C10">
            <v>0.04</v>
          </cell>
          <cell r="D10">
            <v>0.08</v>
          </cell>
          <cell r="E10">
            <v>0.12</v>
          </cell>
          <cell r="F10">
            <v>0.16</v>
          </cell>
          <cell r="G10">
            <v>0.2</v>
          </cell>
          <cell r="H10">
            <v>0.36</v>
          </cell>
          <cell r="I10">
            <v>0.52</v>
          </cell>
          <cell r="J10">
            <v>0.68</v>
          </cell>
          <cell r="K10">
            <v>0.84000000000000008</v>
          </cell>
          <cell r="L10">
            <v>1</v>
          </cell>
        </row>
      </sheetData>
      <sheetData sheetId="24">
        <row r="5">
          <cell r="C5" t="str">
            <v>U1</v>
          </cell>
          <cell r="D5" t="str">
            <v>U2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100</v>
          </cell>
          <cell r="C7">
            <v>8.7891494036040241E-2</v>
          </cell>
          <cell r="D7">
            <v>0.14000000000000001</v>
          </cell>
        </row>
        <row r="8">
          <cell r="B8">
            <v>500</v>
          </cell>
          <cell r="C8">
            <v>0.36870473923174707</v>
          </cell>
          <cell r="D8">
            <v>0.31304951684997057</v>
          </cell>
        </row>
        <row r="9">
          <cell r="B9">
            <v>1000</v>
          </cell>
          <cell r="C9">
            <v>0.60146629373154359</v>
          </cell>
          <cell r="D9">
            <v>0.44271887242357311</v>
          </cell>
        </row>
        <row r="10">
          <cell r="B10">
            <v>2000</v>
          </cell>
          <cell r="C10">
            <v>0.84117088496792769</v>
          </cell>
          <cell r="D10">
            <v>0.62609903369994113</v>
          </cell>
        </row>
        <row r="11">
          <cell r="B11">
            <v>3000</v>
          </cell>
          <cell r="C11">
            <v>0.93670124412292921</v>
          </cell>
          <cell r="D11">
            <v>0.76681158050723264</v>
          </cell>
        </row>
        <row r="12">
          <cell r="B12">
            <v>4000</v>
          </cell>
          <cell r="C12">
            <v>0.97477331221812868</v>
          </cell>
          <cell r="D12">
            <v>0.88543774484714621</v>
          </cell>
        </row>
        <row r="13">
          <cell r="B13">
            <v>5000</v>
          </cell>
          <cell r="C13">
            <v>0.98994631462141369</v>
          </cell>
          <cell r="D13">
            <v>0.98994949366116658</v>
          </cell>
        </row>
      </sheetData>
      <sheetData sheetId="25"/>
      <sheetData sheetId="2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ngin/Desktop/KARAR%20ANAL&#304;Z&#304;/2021-2022%20Bahar/Karar%20Analizi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in" refreshedDate="44670.520585416663" createdVersion="7" refreshedVersion="7" minRefreshableVersion="3" recordCount="50" xr:uid="{A617C7CB-F6C5-4443-9752-9E47DA304604}">
  <cacheSource type="worksheet">
    <worksheetSource ref="A1:C51" sheet="Y araşt.şirketi" r:id="rId2"/>
  </cacheSource>
  <cacheFields count="3">
    <cacheField name="Tarih" numFmtId="14">
      <sharedItems containsNonDate="0" containsDate="1" containsString="0" containsBlank="1" minDate="2012-01-01T00:00:00" maxDate="2016-02-18T16:52:45"/>
    </cacheField>
    <cacheField name="Pazar Araştırması Sonucu" numFmtId="0">
      <sharedItems containsBlank="1" count="4">
        <s v="Olumsuz (-)"/>
        <s v="Olumlu (+)"/>
        <m/>
        <s v="Olumsuz (+)" u="1"/>
      </sharedItems>
    </cacheField>
    <cacheField name="Gerçekleşen Talep" numFmtId="0">
      <sharedItems containsBlank="1" count="4">
        <s v="Düşük"/>
        <s v="Orta"/>
        <s v="Yükse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12-01-01T00:00:00"/>
    <x v="0"/>
    <x v="0"/>
  </r>
  <r>
    <d v="2012-02-25T08:59:03"/>
    <x v="0"/>
    <x v="0"/>
  </r>
  <r>
    <d v="2012-04-23T20:29:46"/>
    <x v="0"/>
    <x v="0"/>
  </r>
  <r>
    <d v="2012-06-18T09:40:09"/>
    <x v="0"/>
    <x v="0"/>
  </r>
  <r>
    <d v="2012-08-26T03:31:19"/>
    <x v="0"/>
    <x v="0"/>
  </r>
  <r>
    <d v="2012-11-03T22:25:23"/>
    <x v="1"/>
    <x v="0"/>
  </r>
  <r>
    <d v="2012-12-28T11:09:32"/>
    <x v="1"/>
    <x v="0"/>
  </r>
  <r>
    <d v="2013-03-08T04:24:39"/>
    <x v="1"/>
    <x v="0"/>
  </r>
  <r>
    <d v="2013-05-13T01:54:45"/>
    <x v="0"/>
    <x v="0"/>
  </r>
  <r>
    <d v="2013-07-16T16:59:47"/>
    <x v="0"/>
    <x v="0"/>
  </r>
  <r>
    <d v="2013-09-15T07:28:00"/>
    <x v="0"/>
    <x v="1"/>
  </r>
  <r>
    <d v="2013-11-21T06:26:51"/>
    <x v="0"/>
    <x v="1"/>
  </r>
  <r>
    <d v="2014-01-24T04:12:17"/>
    <x v="1"/>
    <x v="1"/>
  </r>
  <r>
    <d v="2014-04-02T16:09:23"/>
    <x v="1"/>
    <x v="1"/>
  </r>
  <r>
    <d v="2014-05-31T16:12:52"/>
    <x v="1"/>
    <x v="1"/>
  </r>
  <r>
    <d v="2014-08-07T22:16:13"/>
    <x v="0"/>
    <x v="2"/>
  </r>
  <r>
    <d v="2014-10-09T15:54:00"/>
    <x v="0"/>
    <x v="2"/>
  </r>
  <r>
    <d v="2014-12-16T12:07:11"/>
    <x v="1"/>
    <x v="2"/>
  </r>
  <r>
    <d v="2015-02-18T14:23:26"/>
    <x v="1"/>
    <x v="2"/>
  </r>
  <r>
    <d v="2015-04-14T22:48:33"/>
    <x v="1"/>
    <x v="2"/>
  </r>
  <r>
    <d v="2015-06-22T16:42:48"/>
    <x v="1"/>
    <x v="2"/>
  </r>
  <r>
    <d v="2015-08-22T04:09:37"/>
    <x v="1"/>
    <x v="2"/>
  </r>
  <r>
    <d v="2015-10-20T07:23:22"/>
    <x v="1"/>
    <x v="2"/>
  </r>
  <r>
    <d v="2015-12-19T01:48:35"/>
    <x v="1"/>
    <x v="2"/>
  </r>
  <r>
    <d v="2016-02-18T16:52:45"/>
    <x v="1"/>
    <x v="2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  <r>
    <m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928F8-4FB4-46AF-BE99-9781EE5362B1}" name="PivotTable4" cacheId="3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compact="0" compactData="0" gridDropZones="1" multipleFieldFilters="0">
  <location ref="E5:I9" firstHeaderRow="1" firstDataRow="2" firstDataCol="1"/>
  <pivotFields count="3">
    <pivotField dataField="1" compact="0" numFmtId="14" outline="0" showAll="0"/>
    <pivotField axis="axisRow" compact="0" outline="0" showAll="0">
      <items count="5">
        <item x="1"/>
        <item x="0"/>
        <item x="2"/>
        <item m="1" x="3"/>
        <item t="default"/>
      </items>
    </pivotField>
    <pivotField axis="axisCol" compact="0" outline="0" showAll="0" sortType="descending">
      <items count="5">
        <item h="1" x="3"/>
        <item x="2"/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ay Tarih" fld="0" subtotal="count" showDataAs="percentOfCol" baseField="1" baseItem="0" numFmtId="17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717E-9B36-4DBB-BF16-A1CDAFD9ABA8}">
  <dimension ref="A1:G12"/>
  <sheetViews>
    <sheetView tabSelected="1" zoomScaleNormal="100" workbookViewId="0">
      <selection activeCell="C13" sqref="C13"/>
    </sheetView>
  </sheetViews>
  <sheetFormatPr defaultRowHeight="15" x14ac:dyDescent="0.25"/>
  <cols>
    <col min="1" max="1" width="9.140625" style="1"/>
    <col min="2" max="2" width="9.140625" style="2"/>
    <col min="3" max="3" width="30" style="1" customWidth="1"/>
    <col min="4" max="4" width="9.140625" style="1"/>
    <col min="5" max="5" width="16.42578125" style="1" bestFit="1" customWidth="1"/>
    <col min="6" max="6" width="16.42578125" style="1" customWidth="1"/>
    <col min="7" max="7" width="15.140625" style="1" bestFit="1" customWidth="1"/>
    <col min="8" max="16384" width="9.140625" style="1"/>
  </cols>
  <sheetData>
    <row r="1" spans="1:7" x14ac:dyDescent="0.25">
      <c r="B1" s="2" t="s">
        <v>0</v>
      </c>
      <c r="C1" s="1">
        <v>1210</v>
      </c>
    </row>
    <row r="3" spans="1:7" x14ac:dyDescent="0.25">
      <c r="A3" s="3" t="s">
        <v>1</v>
      </c>
      <c r="B3" s="3" t="s">
        <v>2</v>
      </c>
      <c r="C3" s="3" t="s">
        <v>3</v>
      </c>
      <c r="D3" s="3"/>
      <c r="E3" s="3" t="s">
        <v>4</v>
      </c>
      <c r="F3" s="1">
        <f>SUMPRODUCT(A4:A7,B4:B7)</f>
        <v>335.5</v>
      </c>
    </row>
    <row r="4" spans="1:7" x14ac:dyDescent="0.25">
      <c r="A4" s="4">
        <v>0.13</v>
      </c>
      <c r="B4" s="2">
        <v>-1250</v>
      </c>
      <c r="C4" s="1">
        <f>1-EXP(-$B4/C$1)</f>
        <v>-1.8096441863113757</v>
      </c>
    </row>
    <row r="5" spans="1:7" x14ac:dyDescent="0.25">
      <c r="A5" s="4">
        <v>0.33</v>
      </c>
      <c r="B5" s="2">
        <v>0</v>
      </c>
      <c r="C5" s="1">
        <f>1-EXP(-B5/$C$1)</f>
        <v>0</v>
      </c>
      <c r="E5" s="3" t="s">
        <v>5</v>
      </c>
      <c r="F5" s="1">
        <f>SUMPRODUCT(A4:A7,C4:C7)</f>
        <v>5.1924443892442496E-2</v>
      </c>
    </row>
    <row r="6" spans="1:7" x14ac:dyDescent="0.25">
      <c r="A6" s="4">
        <v>0.21</v>
      </c>
      <c r="B6" s="2">
        <v>800</v>
      </c>
      <c r="C6" s="1">
        <f>1-EXP(-B6/$C$1)</f>
        <v>0.48374632949410401</v>
      </c>
      <c r="E6" s="3" t="s">
        <v>6</v>
      </c>
      <c r="F6" s="1">
        <f>-LN(1-F5)*C1</f>
        <v>64.518506034839447</v>
      </c>
    </row>
    <row r="7" spans="1:7" x14ac:dyDescent="0.25">
      <c r="A7" s="4">
        <v>0.33</v>
      </c>
      <c r="B7" s="2">
        <v>1000</v>
      </c>
      <c r="C7" s="1">
        <f>1-EXP(-B7/$C$1)</f>
        <v>0.56239836036108937</v>
      </c>
      <c r="E7" s="5"/>
    </row>
    <row r="8" spans="1:7" x14ac:dyDescent="0.25">
      <c r="E8" s="3" t="s">
        <v>7</v>
      </c>
      <c r="F8" s="6">
        <f>F3-F6</f>
        <v>270.98149396516055</v>
      </c>
      <c r="G8" s="5"/>
    </row>
    <row r="10" spans="1:7" x14ac:dyDescent="0.25">
      <c r="F10" s="2"/>
      <c r="G10" s="5"/>
    </row>
    <row r="11" spans="1:7" x14ac:dyDescent="0.25">
      <c r="E11" s="2"/>
      <c r="F11" s="2"/>
    </row>
    <row r="12" spans="1:7" x14ac:dyDescent="0.25">
      <c r="F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93EC-B060-41AB-AFDA-23078AB9069D}">
  <dimension ref="B1:L26"/>
  <sheetViews>
    <sheetView zoomScaleNormal="100" workbookViewId="0">
      <selection activeCell="I21" sqref="I21"/>
    </sheetView>
  </sheetViews>
  <sheetFormatPr defaultRowHeight="15" x14ac:dyDescent="0.25"/>
  <cols>
    <col min="1" max="1" width="5.140625" style="1" customWidth="1"/>
    <col min="2" max="2" width="17.85546875" style="1" customWidth="1"/>
    <col min="3" max="3" width="13.85546875" style="1" customWidth="1"/>
    <col min="4" max="5" width="14.7109375" style="2" customWidth="1"/>
    <col min="6" max="6" width="7.140625" style="1" customWidth="1"/>
    <col min="7" max="7" width="8.85546875" style="7" bestFit="1" customWidth="1"/>
    <col min="8" max="8" width="16" style="5" bestFit="1" customWidth="1"/>
    <col min="9" max="16384" width="9.140625" style="1"/>
  </cols>
  <sheetData>
    <row r="1" spans="2:12" x14ac:dyDescent="0.25">
      <c r="B1" s="1" t="s">
        <v>8</v>
      </c>
      <c r="D1" s="2" t="s">
        <v>0</v>
      </c>
      <c r="E1" s="2">
        <v>2000</v>
      </c>
    </row>
    <row r="3" spans="2:12" x14ac:dyDescent="0.25">
      <c r="B3" s="8"/>
      <c r="C3" s="8"/>
      <c r="D3" s="9" t="s">
        <v>9</v>
      </c>
      <c r="E3" s="9" t="s">
        <v>10</v>
      </c>
      <c r="G3" s="7">
        <f>D4*D5+E4*E5</f>
        <v>200</v>
      </c>
      <c r="H3" s="5" t="s">
        <v>11</v>
      </c>
      <c r="I3" s="10"/>
      <c r="K3" s="1">
        <v>10000</v>
      </c>
      <c r="L3" s="10">
        <f>D16</f>
        <v>0.99326205300091452</v>
      </c>
    </row>
    <row r="4" spans="2:12" x14ac:dyDescent="0.25">
      <c r="B4" s="8"/>
      <c r="C4" s="8"/>
      <c r="D4" s="9">
        <v>0.4</v>
      </c>
      <c r="E4" s="9">
        <v>0.6</v>
      </c>
      <c r="G4" s="11">
        <f>D4*D6+E4*E6</f>
        <v>-0.13638453888865387</v>
      </c>
      <c r="H4" s="5" t="s">
        <v>5</v>
      </c>
      <c r="K4" s="1">
        <v>6000</v>
      </c>
      <c r="L4" s="10">
        <f>D21</f>
        <v>0.95021293163213605</v>
      </c>
    </row>
    <row r="5" spans="2:12" x14ac:dyDescent="0.25">
      <c r="B5" s="12" t="s">
        <v>12</v>
      </c>
      <c r="C5" s="12" t="s">
        <v>13</v>
      </c>
      <c r="D5" s="13">
        <v>2000</v>
      </c>
      <c r="E5" s="13">
        <v>-1000</v>
      </c>
      <c r="G5" s="7">
        <f>-LN(1-G4)*$E$1</f>
        <v>-255.70353112545718</v>
      </c>
      <c r="H5" s="5" t="s">
        <v>14</v>
      </c>
      <c r="K5" s="1">
        <v>5000</v>
      </c>
      <c r="L5" s="10">
        <f>D11</f>
        <v>0.91791500137610116</v>
      </c>
    </row>
    <row r="6" spans="2:12" x14ac:dyDescent="0.25">
      <c r="B6" s="5"/>
      <c r="C6" s="12" t="s">
        <v>3</v>
      </c>
      <c r="D6" s="14">
        <f>1-EXP(-D5/$E$1)</f>
        <v>0.63212055882855767</v>
      </c>
      <c r="E6" s="14">
        <f>1-EXP(-E5/$E$1)</f>
        <v>-0.64872127070012819</v>
      </c>
      <c r="G6" s="7">
        <f>G3-G5</f>
        <v>455.70353112545718</v>
      </c>
      <c r="H6" s="5" t="s">
        <v>15</v>
      </c>
      <c r="K6" s="1">
        <v>2000</v>
      </c>
      <c r="L6" s="10">
        <f>D6</f>
        <v>0.63212055882855767</v>
      </c>
    </row>
    <row r="7" spans="2:12" x14ac:dyDescent="0.25">
      <c r="K7" s="1">
        <v>0</v>
      </c>
      <c r="L7" s="10">
        <f>1-EXP(-K7/E1)</f>
        <v>0</v>
      </c>
    </row>
    <row r="8" spans="2:12" x14ac:dyDescent="0.25">
      <c r="B8" s="8"/>
      <c r="C8" s="8"/>
      <c r="D8" s="9" t="s">
        <v>16</v>
      </c>
      <c r="E8" s="9" t="s">
        <v>17</v>
      </c>
      <c r="G8" s="7">
        <f>D9*D10+E9*E10</f>
        <v>1750</v>
      </c>
      <c r="H8" s="5" t="s">
        <v>11</v>
      </c>
      <c r="K8" s="1">
        <v>-1000</v>
      </c>
      <c r="L8" s="10">
        <f>E6</f>
        <v>-0.64872127070012819</v>
      </c>
    </row>
    <row r="9" spans="2:12" x14ac:dyDescent="0.25">
      <c r="B9" s="8"/>
      <c r="C9" s="8"/>
      <c r="D9" s="9">
        <v>0.5</v>
      </c>
      <c r="E9" s="9">
        <v>0.5</v>
      </c>
      <c r="G9" s="11">
        <f>D9*D11+E9*E11</f>
        <v>-9.9542507618286813E-2</v>
      </c>
      <c r="H9" s="5" t="s">
        <v>5</v>
      </c>
      <c r="K9" s="1">
        <v>-1500</v>
      </c>
      <c r="L9" s="10">
        <f>E11</f>
        <v>-1.1170000166126748</v>
      </c>
    </row>
    <row r="10" spans="2:12" x14ac:dyDescent="0.25">
      <c r="B10" s="12" t="s">
        <v>18</v>
      </c>
      <c r="C10" s="12" t="s">
        <v>13</v>
      </c>
      <c r="D10" s="13">
        <v>5000</v>
      </c>
      <c r="E10" s="13">
        <v>-1500</v>
      </c>
      <c r="G10" s="7">
        <f>-LN(1-G9)*$E$1</f>
        <v>-189.78838225567569</v>
      </c>
      <c r="H10" s="5" t="s">
        <v>14</v>
      </c>
      <c r="K10" s="1">
        <v>-2500</v>
      </c>
      <c r="L10" s="10">
        <f>E21</f>
        <v>-2.4903429574618414</v>
      </c>
    </row>
    <row r="11" spans="2:12" x14ac:dyDescent="0.25">
      <c r="B11" s="5"/>
      <c r="C11" s="12" t="s">
        <v>3</v>
      </c>
      <c r="D11" s="14">
        <f>1-EXP(-D10/$E$1)</f>
        <v>0.91791500137610116</v>
      </c>
      <c r="E11" s="14">
        <f>1-EXP(-E10/$E$1)</f>
        <v>-1.1170000166126748</v>
      </c>
      <c r="G11" s="7">
        <f>G8-G10</f>
        <v>1939.7883822556757</v>
      </c>
      <c r="H11" s="5" t="s">
        <v>15</v>
      </c>
      <c r="K11" s="1">
        <v>-8000</v>
      </c>
      <c r="L11" s="10">
        <f>E16</f>
        <v>-53.598150033144236</v>
      </c>
    </row>
    <row r="12" spans="2:12" x14ac:dyDescent="0.25">
      <c r="L12" s="10"/>
    </row>
    <row r="13" spans="2:12" x14ac:dyDescent="0.25">
      <c r="B13" s="8"/>
      <c r="C13" s="8"/>
      <c r="D13" s="9" t="s">
        <v>9</v>
      </c>
      <c r="E13" s="9" t="s">
        <v>10</v>
      </c>
      <c r="G13" s="7">
        <f>D14*D15+E14*E15</f>
        <v>-2600</v>
      </c>
      <c r="H13" s="5" t="s">
        <v>11</v>
      </c>
    </row>
    <row r="14" spans="2:12" x14ac:dyDescent="0.25">
      <c r="B14" s="8"/>
      <c r="C14" s="8"/>
      <c r="D14" s="9">
        <v>0.3</v>
      </c>
      <c r="E14" s="9">
        <v>0.7</v>
      </c>
      <c r="G14" s="11">
        <f>D14*D16+E14*E16</f>
        <v>-37.220726407300688</v>
      </c>
      <c r="H14" s="5" t="s">
        <v>5</v>
      </c>
    </row>
    <row r="15" spans="2:12" x14ac:dyDescent="0.25">
      <c r="B15" s="12" t="s">
        <v>19</v>
      </c>
      <c r="C15" s="12" t="s">
        <v>13</v>
      </c>
      <c r="D15" s="13">
        <v>10000</v>
      </c>
      <c r="E15" s="13">
        <v>-8000</v>
      </c>
      <c r="G15" s="7">
        <f>-LN(1-G14)*$E$1</f>
        <v>-7286.7558891573653</v>
      </c>
      <c r="H15" s="5" t="s">
        <v>14</v>
      </c>
    </row>
    <row r="16" spans="2:12" x14ac:dyDescent="0.25">
      <c r="B16" s="5"/>
      <c r="C16" s="12" t="s">
        <v>3</v>
      </c>
      <c r="D16" s="14">
        <f>1-EXP(-D15/$E$1)</f>
        <v>0.99326205300091452</v>
      </c>
      <c r="E16" s="14">
        <f>1-EXP(-E15/$E$1)</f>
        <v>-53.598150033144236</v>
      </c>
      <c r="G16" s="7">
        <f>G13-G15</f>
        <v>4686.7558891573653</v>
      </c>
      <c r="H16" s="5" t="s">
        <v>15</v>
      </c>
    </row>
    <row r="18" spans="2:8" x14ac:dyDescent="0.25">
      <c r="B18" s="8"/>
      <c r="C18" s="8"/>
      <c r="D18" s="9" t="s">
        <v>9</v>
      </c>
      <c r="E18" s="9" t="s">
        <v>10</v>
      </c>
      <c r="G18" s="7">
        <f>D19*D20+E19*E20</f>
        <v>3025</v>
      </c>
      <c r="H18" s="5" t="s">
        <v>11</v>
      </c>
    </row>
    <row r="19" spans="2:8" x14ac:dyDescent="0.25">
      <c r="B19" s="8"/>
      <c r="C19" s="8"/>
      <c r="D19" s="9">
        <v>0.65</v>
      </c>
      <c r="E19" s="9">
        <v>0.35</v>
      </c>
      <c r="G19" s="11">
        <f>D19*D21+E19*E21</f>
        <v>-0.25398162955075598</v>
      </c>
      <c r="H19" s="5" t="s">
        <v>5</v>
      </c>
    </row>
    <row r="20" spans="2:8" x14ac:dyDescent="0.25">
      <c r="B20" s="12" t="s">
        <v>20</v>
      </c>
      <c r="C20" s="12" t="s">
        <v>13</v>
      </c>
      <c r="D20" s="13">
        <v>6000</v>
      </c>
      <c r="E20" s="13">
        <v>-2500</v>
      </c>
      <c r="G20" s="7">
        <f>-LN(1-G19)*$E$1</f>
        <v>-452.64758524473689</v>
      </c>
      <c r="H20" s="5" t="s">
        <v>14</v>
      </c>
    </row>
    <row r="21" spans="2:8" x14ac:dyDescent="0.25">
      <c r="B21" s="5"/>
      <c r="C21" s="12" t="s">
        <v>3</v>
      </c>
      <c r="D21" s="14">
        <f>1-EXP(-D20/$E$1)</f>
        <v>0.95021293163213605</v>
      </c>
      <c r="E21" s="14">
        <f>1-EXP(-E20/$E$1)</f>
        <v>-2.4903429574618414</v>
      </c>
      <c r="G21" s="7">
        <f>G18-G20</f>
        <v>3477.647585244737</v>
      </c>
      <c r="H21" s="5" t="s">
        <v>15</v>
      </c>
    </row>
    <row r="23" spans="2:8" x14ac:dyDescent="0.25">
      <c r="B23" s="8"/>
      <c r="C23" s="8"/>
      <c r="D23" s="9" t="s">
        <v>9</v>
      </c>
      <c r="E23" s="9" t="s">
        <v>10</v>
      </c>
      <c r="G23" s="7">
        <f>D24*D25+E24*E25</f>
        <v>0</v>
      </c>
      <c r="H23" s="5" t="s">
        <v>11</v>
      </c>
    </row>
    <row r="24" spans="2:8" x14ac:dyDescent="0.25">
      <c r="B24" s="8"/>
      <c r="C24" s="8"/>
      <c r="D24" s="9">
        <v>0.5</v>
      </c>
      <c r="E24" s="9">
        <v>0.5</v>
      </c>
      <c r="G24" s="11">
        <f>D24*D26+E24*E26</f>
        <v>0</v>
      </c>
      <c r="H24" s="5" t="s">
        <v>5</v>
      </c>
    </row>
    <row r="25" spans="2:8" x14ac:dyDescent="0.25">
      <c r="B25" s="12" t="s">
        <v>21</v>
      </c>
      <c r="C25" s="12" t="s">
        <v>13</v>
      </c>
      <c r="D25" s="13">
        <v>0</v>
      </c>
      <c r="E25" s="13">
        <v>0</v>
      </c>
      <c r="G25" s="7">
        <f>-LN(1-G24)*$E$1</f>
        <v>0</v>
      </c>
      <c r="H25" s="5" t="s">
        <v>14</v>
      </c>
    </row>
    <row r="26" spans="2:8" x14ac:dyDescent="0.25">
      <c r="B26" s="5"/>
      <c r="C26" s="12" t="s">
        <v>3</v>
      </c>
      <c r="D26" s="14">
        <f>1-EXP(-D25/$E$1)</f>
        <v>0</v>
      </c>
      <c r="E26" s="14">
        <f>1-EXP(-E25/$E$1)</f>
        <v>0</v>
      </c>
      <c r="G26" s="7">
        <f>G23-G25</f>
        <v>0</v>
      </c>
      <c r="H26" s="5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857C-3CCE-43E4-9DF8-FD5F4F2CF0F5}">
  <dimension ref="B3:L16"/>
  <sheetViews>
    <sheetView zoomScaleNormal="100" workbookViewId="0">
      <selection activeCell="I21" sqref="I21"/>
    </sheetView>
  </sheetViews>
  <sheetFormatPr defaultRowHeight="15" x14ac:dyDescent="0.25"/>
  <cols>
    <col min="1" max="1" width="5.140625" style="1" customWidth="1"/>
    <col min="2" max="2" width="17.85546875" style="1" customWidth="1"/>
    <col min="3" max="3" width="13.85546875" style="1" customWidth="1"/>
    <col min="4" max="5" width="14.7109375" style="2" customWidth="1"/>
    <col min="6" max="6" width="7.140625" style="1" customWidth="1"/>
    <col min="7" max="7" width="8.85546875" style="7" bestFit="1" customWidth="1"/>
    <col min="8" max="8" width="16" style="5" bestFit="1" customWidth="1"/>
    <col min="9" max="16384" width="9.140625" style="1"/>
  </cols>
  <sheetData>
    <row r="3" spans="2:12" x14ac:dyDescent="0.25">
      <c r="B3" s="8"/>
      <c r="C3" s="8"/>
      <c r="D3" s="9" t="s">
        <v>22</v>
      </c>
      <c r="E3" s="9" t="s">
        <v>23</v>
      </c>
      <c r="G3" s="7">
        <f>D4*D5+E4*E5</f>
        <v>62.5</v>
      </c>
      <c r="H3" s="5" t="s">
        <v>11</v>
      </c>
      <c r="I3" s="10"/>
      <c r="K3" s="1">
        <v>150</v>
      </c>
      <c r="L3" s="10">
        <v>1</v>
      </c>
    </row>
    <row r="4" spans="2:12" x14ac:dyDescent="0.25">
      <c r="B4" s="8"/>
      <c r="C4" s="8"/>
      <c r="D4" s="9">
        <v>0.7</v>
      </c>
      <c r="E4" s="9">
        <v>0.3</v>
      </c>
      <c r="G4" s="15">
        <f>D4*D6+E4*E6</f>
        <v>0.69</v>
      </c>
      <c r="H4" s="5" t="s">
        <v>5</v>
      </c>
      <c r="K4" s="1">
        <v>100</v>
      </c>
      <c r="L4" s="10">
        <v>0.9</v>
      </c>
    </row>
    <row r="5" spans="2:12" x14ac:dyDescent="0.25">
      <c r="B5" s="12" t="s">
        <v>24</v>
      </c>
      <c r="C5" s="12" t="s">
        <v>25</v>
      </c>
      <c r="D5" s="13">
        <v>100</v>
      </c>
      <c r="E5" s="13">
        <v>-25</v>
      </c>
      <c r="G5" s="16">
        <v>62</v>
      </c>
      <c r="H5" s="5" t="s">
        <v>14</v>
      </c>
      <c r="K5" s="1">
        <v>80</v>
      </c>
      <c r="L5" s="10">
        <v>0.8</v>
      </c>
    </row>
    <row r="6" spans="2:12" x14ac:dyDescent="0.25">
      <c r="B6" s="5"/>
      <c r="C6" s="12" t="s">
        <v>3</v>
      </c>
      <c r="D6" s="17">
        <v>0.9</v>
      </c>
      <c r="E6" s="17">
        <v>0.2</v>
      </c>
      <c r="G6" s="7">
        <f>G3-G5</f>
        <v>0.5</v>
      </c>
      <c r="H6" s="5" t="s">
        <v>15</v>
      </c>
      <c r="K6" s="1">
        <v>20</v>
      </c>
      <c r="L6" s="10">
        <v>0.5</v>
      </c>
    </row>
    <row r="7" spans="2:12" x14ac:dyDescent="0.25">
      <c r="K7" s="1">
        <v>-25</v>
      </c>
      <c r="L7" s="10">
        <v>0.2</v>
      </c>
    </row>
    <row r="8" spans="2:12" x14ac:dyDescent="0.25">
      <c r="B8" s="8"/>
      <c r="C8" s="8"/>
      <c r="D8" s="9" t="s">
        <v>26</v>
      </c>
      <c r="E8" s="9" t="s">
        <v>27</v>
      </c>
      <c r="G8" s="7">
        <f>D9*D10+E9*E10</f>
        <v>55</v>
      </c>
      <c r="H8" s="5" t="s">
        <v>11</v>
      </c>
      <c r="K8" s="1">
        <v>-40</v>
      </c>
      <c r="L8" s="10">
        <v>0</v>
      </c>
    </row>
    <row r="9" spans="2:12" x14ac:dyDescent="0.25">
      <c r="B9" s="8"/>
      <c r="C9" s="8"/>
      <c r="D9" s="9">
        <v>0.5</v>
      </c>
      <c r="E9" s="9">
        <v>0.5</v>
      </c>
      <c r="G9" s="11">
        <f>D9*D11+E9*E11</f>
        <v>0.5</v>
      </c>
      <c r="H9" s="5" t="s">
        <v>5</v>
      </c>
      <c r="L9" s="10"/>
    </row>
    <row r="10" spans="2:12" x14ac:dyDescent="0.25">
      <c r="B10" s="12" t="s">
        <v>28</v>
      </c>
      <c r="C10" s="12" t="s">
        <v>25</v>
      </c>
      <c r="D10" s="13">
        <v>150</v>
      </c>
      <c r="E10" s="13">
        <v>-40</v>
      </c>
      <c r="G10" s="7">
        <v>20</v>
      </c>
      <c r="H10" s="5" t="s">
        <v>14</v>
      </c>
      <c r="L10" s="10"/>
    </row>
    <row r="11" spans="2:12" x14ac:dyDescent="0.25">
      <c r="B11" s="5"/>
      <c r="C11" s="12" t="s">
        <v>3</v>
      </c>
      <c r="D11" s="14">
        <v>1</v>
      </c>
      <c r="E11" s="14">
        <v>0</v>
      </c>
      <c r="G11" s="7">
        <f>G8-G10</f>
        <v>35</v>
      </c>
      <c r="H11" s="5" t="s">
        <v>15</v>
      </c>
      <c r="L11" s="10"/>
    </row>
    <row r="12" spans="2:12" x14ac:dyDescent="0.25">
      <c r="L12" s="10"/>
    </row>
    <row r="13" spans="2:12" x14ac:dyDescent="0.25">
      <c r="B13" s="8"/>
      <c r="C13" s="8"/>
      <c r="D13" s="9" t="s">
        <v>29</v>
      </c>
      <c r="E13" s="9" t="s">
        <v>30</v>
      </c>
      <c r="G13" s="7">
        <f>D14*D15+E14*E15</f>
        <v>44</v>
      </c>
      <c r="H13" s="5" t="s">
        <v>11</v>
      </c>
    </row>
    <row r="14" spans="2:12" x14ac:dyDescent="0.25">
      <c r="B14" s="8"/>
      <c r="C14" s="8"/>
      <c r="D14" s="9">
        <v>0.4</v>
      </c>
      <c r="E14" s="9">
        <v>0.6</v>
      </c>
      <c r="G14" s="11">
        <f>D14*D16+E14*E16</f>
        <v>0.62000000000000011</v>
      </c>
      <c r="H14" s="5" t="s">
        <v>5</v>
      </c>
    </row>
    <row r="15" spans="2:12" x14ac:dyDescent="0.25">
      <c r="B15" s="12" t="s">
        <v>31</v>
      </c>
      <c r="C15" s="12" t="s">
        <v>25</v>
      </c>
      <c r="D15" s="13">
        <v>80</v>
      </c>
      <c r="E15" s="13">
        <v>20</v>
      </c>
      <c r="G15" s="18"/>
      <c r="H15" s="5" t="s">
        <v>14</v>
      </c>
    </row>
    <row r="16" spans="2:12" x14ac:dyDescent="0.25">
      <c r="B16" s="5"/>
      <c r="C16" s="12" t="s">
        <v>3</v>
      </c>
      <c r="D16" s="14">
        <v>0.8</v>
      </c>
      <c r="E16" s="14">
        <v>0.5</v>
      </c>
      <c r="H16" s="5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30E9-E87C-45BF-8DF2-541657AC1CE5}">
  <dimension ref="A1:L26"/>
  <sheetViews>
    <sheetView workbookViewId="0">
      <selection activeCell="I21" sqref="I21"/>
    </sheetView>
  </sheetViews>
  <sheetFormatPr defaultRowHeight="15" x14ac:dyDescent="0.25"/>
  <cols>
    <col min="1" max="1" width="16.85546875" style="1" bestFit="1" customWidth="1"/>
    <col min="2" max="4" width="9.5703125" style="1" customWidth="1"/>
    <col min="5" max="5" width="12.140625" style="1" customWidth="1"/>
    <col min="6" max="7" width="9.5703125" style="1" customWidth="1"/>
    <col min="8" max="9" width="9.5703125" style="20" customWidth="1"/>
    <col min="10" max="12" width="9.5703125" style="1" customWidth="1"/>
    <col min="13" max="16384" width="9.140625" style="1"/>
  </cols>
  <sheetData>
    <row r="1" spans="1:12" x14ac:dyDescent="0.25">
      <c r="A1" s="19"/>
      <c r="B1" s="19" t="s">
        <v>32</v>
      </c>
      <c r="C1" s="19" t="s">
        <v>33</v>
      </c>
      <c r="D1" s="19" t="s">
        <v>34</v>
      </c>
    </row>
    <row r="2" spans="1:12" x14ac:dyDescent="0.25">
      <c r="A2" s="19"/>
      <c r="B2" s="19">
        <v>0.8</v>
      </c>
      <c r="C2" s="19">
        <v>0.1</v>
      </c>
      <c r="D2" s="19">
        <v>0.1</v>
      </c>
    </row>
    <row r="3" spans="1:12" x14ac:dyDescent="0.25">
      <c r="A3" s="19" t="s">
        <v>35</v>
      </c>
      <c r="B3" s="19">
        <v>20</v>
      </c>
      <c r="C3" s="19">
        <v>50</v>
      </c>
      <c r="D3" s="19">
        <v>0</v>
      </c>
      <c r="E3" s="1">
        <f>SUMPRODUCT($B$2:$D$2,B3:D3)</f>
        <v>21</v>
      </c>
    </row>
    <row r="4" spans="1:12" x14ac:dyDescent="0.25">
      <c r="A4" s="19" t="s">
        <v>36</v>
      </c>
      <c r="B4" s="19">
        <v>25</v>
      </c>
      <c r="C4" s="19">
        <v>10</v>
      </c>
      <c r="D4" s="19">
        <v>5</v>
      </c>
      <c r="E4" s="1">
        <f>SUMPRODUCT($B$2:$D$2,B4:D4)</f>
        <v>21.5</v>
      </c>
    </row>
    <row r="6" spans="1:12" x14ac:dyDescent="0.25">
      <c r="A6" s="21" t="s">
        <v>37</v>
      </c>
      <c r="G6" s="20"/>
      <c r="I6" s="1"/>
    </row>
    <row r="7" spans="1:12" x14ac:dyDescent="0.25">
      <c r="A7" s="22" t="s">
        <v>38</v>
      </c>
      <c r="B7" s="21">
        <v>0</v>
      </c>
      <c r="C7" s="21">
        <v>5</v>
      </c>
      <c r="D7" s="21">
        <v>10</v>
      </c>
      <c r="E7" s="21">
        <v>15</v>
      </c>
      <c r="F7" s="21">
        <v>20</v>
      </c>
      <c r="G7" s="21">
        <v>25</v>
      </c>
      <c r="H7" s="21">
        <v>30</v>
      </c>
      <c r="I7" s="21">
        <v>35</v>
      </c>
      <c r="J7" s="21">
        <v>40</v>
      </c>
      <c r="K7" s="21">
        <v>45</v>
      </c>
      <c r="L7" s="21">
        <v>50</v>
      </c>
    </row>
    <row r="8" spans="1:12" x14ac:dyDescent="0.25">
      <c r="A8" s="20" t="s">
        <v>39</v>
      </c>
      <c r="B8" s="23">
        <v>0</v>
      </c>
      <c r="C8" s="23">
        <v>0.3</v>
      </c>
      <c r="D8" s="23">
        <v>0.6</v>
      </c>
      <c r="E8" s="23">
        <f>D8+0.4/8</f>
        <v>0.65</v>
      </c>
      <c r="F8" s="23">
        <f t="shared" ref="F8:K8" si="0">E8+0.4/8</f>
        <v>0.70000000000000007</v>
      </c>
      <c r="G8" s="23">
        <f t="shared" si="0"/>
        <v>0.75000000000000011</v>
      </c>
      <c r="H8" s="23">
        <f t="shared" si="0"/>
        <v>0.80000000000000016</v>
      </c>
      <c r="I8" s="23">
        <f t="shared" si="0"/>
        <v>0.8500000000000002</v>
      </c>
      <c r="J8" s="23">
        <f t="shared" si="0"/>
        <v>0.90000000000000024</v>
      </c>
      <c r="K8" s="23">
        <f t="shared" si="0"/>
        <v>0.95000000000000029</v>
      </c>
      <c r="L8" s="24">
        <v>1</v>
      </c>
    </row>
    <row r="9" spans="1:12" x14ac:dyDescent="0.25">
      <c r="A9" s="20" t="s">
        <v>40</v>
      </c>
      <c r="B9" s="23">
        <v>0</v>
      </c>
      <c r="C9" s="23">
        <v>0.1</v>
      </c>
      <c r="D9" s="23">
        <v>0.2</v>
      </c>
      <c r="E9" s="23">
        <v>0.3</v>
      </c>
      <c r="F9" s="23">
        <v>0.4</v>
      </c>
      <c r="G9" s="23">
        <v>0.5</v>
      </c>
      <c r="H9" s="23">
        <v>0.6</v>
      </c>
      <c r="I9" s="23">
        <v>0.7</v>
      </c>
      <c r="J9" s="23">
        <v>0.8</v>
      </c>
      <c r="K9" s="23">
        <v>0.9</v>
      </c>
      <c r="L9" s="23">
        <v>1</v>
      </c>
    </row>
    <row r="10" spans="1:12" x14ac:dyDescent="0.25">
      <c r="A10" s="22" t="s">
        <v>41</v>
      </c>
      <c r="B10" s="25">
        <v>0</v>
      </c>
      <c r="C10" s="25">
        <v>0.04</v>
      </c>
      <c r="D10" s="25">
        <v>0.08</v>
      </c>
      <c r="E10" s="25">
        <v>0.12</v>
      </c>
      <c r="F10" s="25">
        <v>0.16</v>
      </c>
      <c r="G10" s="26">
        <v>0.2</v>
      </c>
      <c r="H10" s="26">
        <f>G10+0.8/5</f>
        <v>0.36</v>
      </c>
      <c r="I10" s="26">
        <f t="shared" ref="I10:K10" si="1">H10+0.8/5</f>
        <v>0.52</v>
      </c>
      <c r="J10" s="26">
        <f t="shared" si="1"/>
        <v>0.68</v>
      </c>
      <c r="K10" s="26">
        <f t="shared" si="1"/>
        <v>0.84000000000000008</v>
      </c>
      <c r="L10" s="26">
        <v>1</v>
      </c>
    </row>
    <row r="13" spans="1:12" x14ac:dyDescent="0.25">
      <c r="A13" s="19" t="s">
        <v>39</v>
      </c>
      <c r="B13" s="19" t="s">
        <v>32</v>
      </c>
      <c r="C13" s="19" t="s">
        <v>33</v>
      </c>
      <c r="D13" s="19" t="s">
        <v>34</v>
      </c>
    </row>
    <row r="14" spans="1:12" x14ac:dyDescent="0.25">
      <c r="A14" s="19"/>
      <c r="B14" s="19">
        <v>0.8</v>
      </c>
      <c r="C14" s="19">
        <v>0.1</v>
      </c>
      <c r="D14" s="19">
        <v>0.1</v>
      </c>
    </row>
    <row r="15" spans="1:12" x14ac:dyDescent="0.25">
      <c r="A15" s="19" t="s">
        <v>35</v>
      </c>
      <c r="B15" s="19">
        <f>IF(B3&lt;10,0.06*B3,0.5+0.01*B3)</f>
        <v>0.7</v>
      </c>
      <c r="C15" s="19">
        <f t="shared" ref="C15:D16" si="2">IF(C3&lt;10,0.06*C3,0.5+0.01*C3)</f>
        <v>1</v>
      </c>
      <c r="D15" s="19">
        <f t="shared" si="2"/>
        <v>0</v>
      </c>
      <c r="E15" s="1">
        <f>SUMPRODUCT($B$2:$D$2,B15:D15)</f>
        <v>0.65999999999999992</v>
      </c>
    </row>
    <row r="16" spans="1:12" x14ac:dyDescent="0.25">
      <c r="A16" s="19" t="s">
        <v>36</v>
      </c>
      <c r="B16" s="19">
        <f>IF(B4&lt;10,0.06*B4,0.5+0.01*B4)</f>
        <v>0.75</v>
      </c>
      <c r="C16" s="19">
        <f t="shared" si="2"/>
        <v>0.6</v>
      </c>
      <c r="D16" s="19">
        <f t="shared" si="2"/>
        <v>0.3</v>
      </c>
      <c r="E16" s="1">
        <f>SUMPRODUCT($B$2:$D$2,B16:D16)</f>
        <v>0.69000000000000017</v>
      </c>
    </row>
    <row r="18" spans="1:5" x14ac:dyDescent="0.25">
      <c r="A18" s="19" t="s">
        <v>40</v>
      </c>
      <c r="B18" s="19" t="s">
        <v>32</v>
      </c>
      <c r="C18" s="19" t="s">
        <v>33</v>
      </c>
      <c r="D18" s="19" t="s">
        <v>34</v>
      </c>
    </row>
    <row r="19" spans="1:5" x14ac:dyDescent="0.25">
      <c r="A19" s="19"/>
      <c r="B19" s="19">
        <v>0.8</v>
      </c>
      <c r="C19" s="19">
        <v>0.1</v>
      </c>
      <c r="D19" s="19">
        <v>0.1</v>
      </c>
    </row>
    <row r="20" spans="1:5" x14ac:dyDescent="0.25">
      <c r="A20" s="19" t="s">
        <v>35</v>
      </c>
      <c r="B20" s="19">
        <f>0.02*B3</f>
        <v>0.4</v>
      </c>
      <c r="C20" s="19">
        <f t="shared" ref="C20:D21" si="3">0.02*C3</f>
        <v>1</v>
      </c>
      <c r="D20" s="19">
        <f t="shared" si="3"/>
        <v>0</v>
      </c>
      <c r="E20" s="1">
        <f>SUMPRODUCT($B$2:$D$2,B20:D20)</f>
        <v>0.42000000000000004</v>
      </c>
    </row>
    <row r="21" spans="1:5" x14ac:dyDescent="0.25">
      <c r="A21" s="19" t="s">
        <v>36</v>
      </c>
      <c r="B21" s="19">
        <f>0.02*B4</f>
        <v>0.5</v>
      </c>
      <c r="C21" s="19">
        <f t="shared" si="3"/>
        <v>0.2</v>
      </c>
      <c r="D21" s="19">
        <f t="shared" si="3"/>
        <v>0.1</v>
      </c>
      <c r="E21" s="1">
        <f>SUMPRODUCT($B$2:$D$2,B21:D21)</f>
        <v>0.43000000000000005</v>
      </c>
    </row>
    <row r="23" spans="1:5" x14ac:dyDescent="0.25">
      <c r="A23" s="19" t="s">
        <v>41</v>
      </c>
      <c r="B23" s="19" t="s">
        <v>32</v>
      </c>
      <c r="C23" s="19" t="s">
        <v>33</v>
      </c>
      <c r="D23" s="19" t="s">
        <v>34</v>
      </c>
    </row>
    <row r="24" spans="1:5" x14ac:dyDescent="0.25">
      <c r="A24" s="19"/>
      <c r="B24" s="19">
        <v>0.8</v>
      </c>
      <c r="C24" s="19">
        <v>0.1</v>
      </c>
      <c r="D24" s="19">
        <v>0.1</v>
      </c>
    </row>
    <row r="25" spans="1:5" x14ac:dyDescent="0.25">
      <c r="A25" s="19" t="s">
        <v>35</v>
      </c>
      <c r="B25" s="19">
        <f>IF(B3&lt;25,0.008*B3,-0.6+0.032*B3)</f>
        <v>0.16</v>
      </c>
      <c r="C25" s="19">
        <f t="shared" ref="C25:D26" si="4">IF(C3&lt;25,0.008*C3,-0.6+0.032*C3)</f>
        <v>1</v>
      </c>
      <c r="D25" s="19">
        <f t="shared" si="4"/>
        <v>0</v>
      </c>
      <c r="E25" s="1">
        <f>SUMPRODUCT($B$2:$D$2,B25:D25)</f>
        <v>0.22800000000000001</v>
      </c>
    </row>
    <row r="26" spans="1:5" x14ac:dyDescent="0.25">
      <c r="A26" s="19" t="s">
        <v>36</v>
      </c>
      <c r="B26" s="19">
        <f>IF(B4&lt;25,0.008*B4,-0.6+0.032*B4)</f>
        <v>0.20000000000000007</v>
      </c>
      <c r="C26" s="19">
        <f t="shared" si="4"/>
        <v>0.08</v>
      </c>
      <c r="D26" s="19">
        <f t="shared" si="4"/>
        <v>0.04</v>
      </c>
      <c r="E26" s="1">
        <f>SUMPRODUCT($B$2:$D$2,B26:D26)</f>
        <v>0.17200000000000007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8144-EB72-4888-A92A-45EF81B26BC3}">
  <dimension ref="A1:H24"/>
  <sheetViews>
    <sheetView workbookViewId="0">
      <selection activeCell="I21" sqref="I21"/>
    </sheetView>
  </sheetViews>
  <sheetFormatPr defaultRowHeight="15" x14ac:dyDescent="0.25"/>
  <cols>
    <col min="1" max="1" width="5" style="1" bestFit="1" customWidth="1"/>
    <col min="2" max="2" width="5" style="2" bestFit="1" customWidth="1"/>
    <col min="3" max="3" width="11.5703125" style="1" bestFit="1" customWidth="1"/>
    <col min="4" max="4" width="9.5703125" style="1" bestFit="1" customWidth="1"/>
    <col min="5" max="5" width="4.42578125" style="1" customWidth="1"/>
    <col min="6" max="6" width="16.42578125" style="1" bestFit="1" customWidth="1"/>
    <col min="7" max="8" width="8.5703125" style="1" bestFit="1" customWidth="1"/>
    <col min="9" max="16384" width="9.140625" style="1"/>
  </cols>
  <sheetData>
    <row r="1" spans="1:8" x14ac:dyDescent="0.25">
      <c r="C1" s="2" t="s">
        <v>42</v>
      </c>
      <c r="D1" s="2" t="s">
        <v>43</v>
      </c>
    </row>
    <row r="2" spans="1:8" x14ac:dyDescent="0.25">
      <c r="C2" s="2" t="s">
        <v>44</v>
      </c>
      <c r="D2" s="2" t="s">
        <v>45</v>
      </c>
    </row>
    <row r="3" spans="1:8" x14ac:dyDescent="0.25">
      <c r="C3" s="27">
        <v>1087</v>
      </c>
      <c r="D3" s="28">
        <v>1.4E-2</v>
      </c>
    </row>
    <row r="5" spans="1:8" x14ac:dyDescent="0.25">
      <c r="A5" s="3" t="s">
        <v>1</v>
      </c>
      <c r="B5" s="3" t="s">
        <v>2</v>
      </c>
      <c r="C5" s="3" t="s">
        <v>46</v>
      </c>
      <c r="D5" s="3" t="s">
        <v>47</v>
      </c>
      <c r="E5" s="3"/>
      <c r="G5" s="3"/>
      <c r="H5" s="3"/>
    </row>
    <row r="6" spans="1:8" x14ac:dyDescent="0.25">
      <c r="A6" s="4">
        <v>0.2</v>
      </c>
      <c r="B6" s="2">
        <v>0</v>
      </c>
      <c r="C6" s="29">
        <f>1-EXP(-$B6/C$3)</f>
        <v>0</v>
      </c>
      <c r="D6" s="29">
        <f>$D$3*SQRT(B6)</f>
        <v>0</v>
      </c>
      <c r="F6" s="3" t="s">
        <v>4</v>
      </c>
      <c r="G6" s="10">
        <f>SUMPRODUCT(A6:A13,B6:B13)</f>
        <v>780</v>
      </c>
      <c r="H6" s="10">
        <f>SUMPRODUCT(A6:A13,B6:B13)</f>
        <v>780</v>
      </c>
    </row>
    <row r="7" spans="1:8" x14ac:dyDescent="0.25">
      <c r="A7" s="4">
        <v>0.3</v>
      </c>
      <c r="B7" s="2">
        <v>100</v>
      </c>
      <c r="C7" s="29">
        <f t="shared" ref="C7:C13" si="0">1-EXP(-$B7/C$3)</f>
        <v>8.7891494036040241E-2</v>
      </c>
      <c r="D7" s="29">
        <f t="shared" ref="D7:D13" si="1">$D$3*SQRT(B7)</f>
        <v>0.14000000000000001</v>
      </c>
      <c r="F7" s="3" t="s">
        <v>5</v>
      </c>
      <c r="G7" s="30">
        <f>SUMPRODUCT(A6:A13,C6:C13)</f>
        <v>0.29612013081563193</v>
      </c>
      <c r="H7" s="31">
        <f>SUMPRODUCT(A6:A13,D6:D13)</f>
        <v>0.27918169166346518</v>
      </c>
    </row>
    <row r="8" spans="1:8" x14ac:dyDescent="0.25">
      <c r="A8" s="4">
        <v>0.3</v>
      </c>
      <c r="B8" s="2">
        <v>500</v>
      </c>
      <c r="C8" s="29">
        <f t="shared" si="0"/>
        <v>0.36870473923174707</v>
      </c>
      <c r="D8" s="29">
        <f t="shared" si="1"/>
        <v>0.31304951684997057</v>
      </c>
      <c r="F8" s="3" t="s">
        <v>6</v>
      </c>
      <c r="G8" s="10">
        <f>-LN(1-G7)*C3</f>
        <v>381.69741701200144</v>
      </c>
      <c r="H8" s="10">
        <f>(H7/D3)^2</f>
        <v>397.66539265343948</v>
      </c>
    </row>
    <row r="9" spans="1:8" x14ac:dyDescent="0.25">
      <c r="A9" s="4">
        <v>0.1</v>
      </c>
      <c r="B9" s="2">
        <v>1000</v>
      </c>
      <c r="C9" s="29">
        <f t="shared" si="0"/>
        <v>0.60146629373154359</v>
      </c>
      <c r="D9" s="29">
        <f t="shared" si="1"/>
        <v>0.44271887242357311</v>
      </c>
      <c r="F9" s="5"/>
      <c r="G9" s="10"/>
      <c r="H9" s="10"/>
    </row>
    <row r="10" spans="1:8" hidden="1" x14ac:dyDescent="0.25">
      <c r="A10" s="4">
        <v>0</v>
      </c>
      <c r="B10" s="2">
        <v>2000</v>
      </c>
      <c r="C10" s="29">
        <f t="shared" si="0"/>
        <v>0.84117088496792769</v>
      </c>
      <c r="D10" s="29">
        <f t="shared" si="1"/>
        <v>0.62609903369994113</v>
      </c>
      <c r="F10" s="5"/>
      <c r="G10" s="10"/>
      <c r="H10" s="10"/>
    </row>
    <row r="11" spans="1:8" hidden="1" x14ac:dyDescent="0.25">
      <c r="A11" s="4">
        <v>0</v>
      </c>
      <c r="B11" s="2">
        <v>3000</v>
      </c>
      <c r="C11" s="29">
        <f t="shared" si="0"/>
        <v>0.93670124412292921</v>
      </c>
      <c r="D11" s="29">
        <f t="shared" si="1"/>
        <v>0.76681158050723264</v>
      </c>
      <c r="F11" s="5"/>
      <c r="G11" s="10"/>
      <c r="H11" s="10"/>
    </row>
    <row r="12" spans="1:8" hidden="1" x14ac:dyDescent="0.25">
      <c r="A12" s="4">
        <v>0</v>
      </c>
      <c r="B12" s="2">
        <v>4000</v>
      </c>
      <c r="C12" s="29">
        <f t="shared" si="0"/>
        <v>0.97477331221812868</v>
      </c>
      <c r="D12" s="29">
        <f t="shared" si="1"/>
        <v>0.88543774484714621</v>
      </c>
      <c r="F12" s="5"/>
      <c r="G12" s="10"/>
      <c r="H12" s="10"/>
    </row>
    <row r="13" spans="1:8" x14ac:dyDescent="0.25">
      <c r="A13" s="4">
        <v>0.1</v>
      </c>
      <c r="B13" s="2">
        <v>5000</v>
      </c>
      <c r="C13" s="29">
        <f t="shared" si="0"/>
        <v>0.98994631462141369</v>
      </c>
      <c r="D13" s="29">
        <f t="shared" si="1"/>
        <v>0.98994949366116658</v>
      </c>
      <c r="F13" s="3" t="s">
        <v>7</v>
      </c>
      <c r="G13" s="32">
        <f>G6-G8</f>
        <v>398.30258298799856</v>
      </c>
      <c r="H13" s="32">
        <f>H6-H8</f>
        <v>382.33460734656052</v>
      </c>
    </row>
    <row r="14" spans="1:8" x14ac:dyDescent="0.25">
      <c r="D14" s="33"/>
    </row>
    <row r="15" spans="1:8" x14ac:dyDescent="0.25">
      <c r="G15" s="34"/>
      <c r="H15" s="34"/>
    </row>
    <row r="16" spans="1:8" x14ac:dyDescent="0.25">
      <c r="A16" s="3" t="s">
        <v>1</v>
      </c>
      <c r="B16" s="3" t="s">
        <v>2</v>
      </c>
      <c r="C16" s="3" t="s">
        <v>46</v>
      </c>
      <c r="D16" s="3" t="s">
        <v>47</v>
      </c>
      <c r="E16" s="3"/>
      <c r="F16" s="3" t="s">
        <v>4</v>
      </c>
      <c r="G16" s="10">
        <f>SUMPRODUCT(A17:A24,B17:B24)</f>
        <v>750</v>
      </c>
      <c r="H16" s="10">
        <f>SUMPRODUCT(A17:A24,B17:B24)</f>
        <v>750</v>
      </c>
    </row>
    <row r="17" spans="1:8" x14ac:dyDescent="0.25">
      <c r="A17" s="4">
        <v>0.85</v>
      </c>
      <c r="B17" s="2">
        <v>0</v>
      </c>
      <c r="C17" s="29">
        <f>1-EXP(-$B17/C$3)</f>
        <v>0</v>
      </c>
      <c r="D17" s="29">
        <f>$D$3*SQRT(B17)</f>
        <v>0</v>
      </c>
      <c r="G17" s="10"/>
      <c r="H17" s="10"/>
    </row>
    <row r="18" spans="1:8" x14ac:dyDescent="0.25">
      <c r="A18" s="4">
        <v>0</v>
      </c>
      <c r="B18" s="2">
        <v>100</v>
      </c>
      <c r="C18" s="29">
        <f t="shared" ref="C18:C24" si="2">1-EXP(-$B18/C$3)</f>
        <v>8.7891494036040241E-2</v>
      </c>
      <c r="D18" s="29">
        <f t="shared" ref="D18:D24" si="3">$D$3*SQRT(B18)</f>
        <v>0.14000000000000001</v>
      </c>
      <c r="F18" s="3" t="s">
        <v>5</v>
      </c>
      <c r="G18" s="30">
        <f>SUMPRODUCT(A17:A24,C17:C24)</f>
        <v>0.14849194719321204</v>
      </c>
      <c r="H18" s="31">
        <f>SUMPRODUCT(A17:A24,D17:D24)</f>
        <v>0.14849242404917498</v>
      </c>
    </row>
    <row r="19" spans="1:8" x14ac:dyDescent="0.25">
      <c r="A19" s="4">
        <v>0</v>
      </c>
      <c r="B19" s="2">
        <v>500</v>
      </c>
      <c r="C19" s="29">
        <f t="shared" si="2"/>
        <v>0.36870473923174707</v>
      </c>
      <c r="D19" s="29">
        <f t="shared" si="3"/>
        <v>0.31304951684997057</v>
      </c>
      <c r="F19" s="3" t="s">
        <v>6</v>
      </c>
      <c r="G19" s="10">
        <f>-LN(1-G18)*C3</f>
        <v>174.73125171284974</v>
      </c>
      <c r="H19" s="10">
        <f>(H18/D3)^2</f>
        <v>112.50000000000001</v>
      </c>
    </row>
    <row r="20" spans="1:8" x14ac:dyDescent="0.25">
      <c r="A20" s="4">
        <v>0</v>
      </c>
      <c r="B20" s="2">
        <v>1000</v>
      </c>
      <c r="C20" s="29">
        <f t="shared" si="2"/>
        <v>0.60146629373154359</v>
      </c>
      <c r="D20" s="29">
        <f t="shared" si="3"/>
        <v>0.44271887242357311</v>
      </c>
      <c r="F20" s="5"/>
      <c r="G20" s="10"/>
      <c r="H20" s="10"/>
    </row>
    <row r="21" spans="1:8" x14ac:dyDescent="0.25">
      <c r="A21" s="4">
        <v>0</v>
      </c>
      <c r="B21" s="2">
        <v>2000</v>
      </c>
      <c r="C21" s="29">
        <f t="shared" si="2"/>
        <v>0.84117088496792769</v>
      </c>
      <c r="D21" s="29">
        <f t="shared" si="3"/>
        <v>0.62609903369994113</v>
      </c>
      <c r="F21" s="5"/>
      <c r="G21" s="10"/>
      <c r="H21" s="10"/>
    </row>
    <row r="22" spans="1:8" x14ac:dyDescent="0.25">
      <c r="A22" s="4">
        <v>0</v>
      </c>
      <c r="B22" s="2">
        <v>3000</v>
      </c>
      <c r="C22" s="29">
        <f t="shared" si="2"/>
        <v>0.93670124412292921</v>
      </c>
      <c r="D22" s="29">
        <f t="shared" si="3"/>
        <v>0.76681158050723264</v>
      </c>
      <c r="F22" s="5"/>
      <c r="G22" s="10"/>
      <c r="H22" s="10"/>
    </row>
    <row r="23" spans="1:8" x14ac:dyDescent="0.25">
      <c r="A23" s="4">
        <v>0</v>
      </c>
      <c r="B23" s="2">
        <v>4000</v>
      </c>
      <c r="C23" s="29">
        <f t="shared" si="2"/>
        <v>0.97477331221812868</v>
      </c>
      <c r="D23" s="29">
        <f t="shared" si="3"/>
        <v>0.88543774484714621</v>
      </c>
      <c r="F23" s="5"/>
      <c r="G23" s="10"/>
      <c r="H23" s="10"/>
    </row>
    <row r="24" spans="1:8" x14ac:dyDescent="0.25">
      <c r="A24" s="4">
        <v>0.15</v>
      </c>
      <c r="B24" s="2">
        <v>5000</v>
      </c>
      <c r="C24" s="29">
        <f t="shared" si="2"/>
        <v>0.98994631462141369</v>
      </c>
      <c r="D24" s="29">
        <f t="shared" si="3"/>
        <v>0.98994949366116658</v>
      </c>
      <c r="F24" s="3" t="s">
        <v>7</v>
      </c>
      <c r="G24" s="32">
        <f>G16-G19</f>
        <v>575.26874828715029</v>
      </c>
      <c r="H24" s="32">
        <f>H16-H19</f>
        <v>637.5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3C31-F58A-4E13-9471-FD28A7BD950F}">
  <dimension ref="A1:R51"/>
  <sheetViews>
    <sheetView topLeftCell="F1" workbookViewId="0">
      <selection activeCell="I17" sqref="I17"/>
    </sheetView>
  </sheetViews>
  <sheetFormatPr defaultRowHeight="15" x14ac:dyDescent="0.25"/>
  <cols>
    <col min="1" max="1" width="11.140625" style="42" customWidth="1"/>
    <col min="2" max="2" width="23.42578125" style="1" bestFit="1" customWidth="1"/>
    <col min="3" max="3" width="17.7109375" style="1" bestFit="1" customWidth="1"/>
    <col min="4" max="4" width="9.140625" style="1"/>
    <col min="5" max="5" width="25.7109375" style="1" bestFit="1" customWidth="1"/>
    <col min="6" max="8" width="20" style="1" bestFit="1" customWidth="1"/>
    <col min="9" max="10" width="13.5703125" style="1" bestFit="1" customWidth="1"/>
    <col min="11" max="11" width="23.42578125" style="1" bestFit="1" customWidth="1"/>
    <col min="12" max="16384" width="9.140625" style="1"/>
  </cols>
  <sheetData>
    <row r="1" spans="1:18" x14ac:dyDescent="0.25">
      <c r="A1" s="35" t="s">
        <v>48</v>
      </c>
      <c r="B1" s="5" t="s">
        <v>49</v>
      </c>
      <c r="C1" s="5" t="s">
        <v>50</v>
      </c>
    </row>
    <row r="2" spans="1:18" x14ac:dyDescent="0.25">
      <c r="A2" s="36">
        <v>40909</v>
      </c>
      <c r="B2" s="1" t="s">
        <v>51</v>
      </c>
      <c r="C2" s="1" t="s">
        <v>52</v>
      </c>
    </row>
    <row r="3" spans="1:18" x14ac:dyDescent="0.25">
      <c r="A3" s="36">
        <f ca="1">A2+RAND()*20+50</f>
        <v>40969.968169460801</v>
      </c>
      <c r="B3" s="1" t="s">
        <v>51</v>
      </c>
      <c r="C3" s="1" t="s">
        <v>52</v>
      </c>
    </row>
    <row r="4" spans="1:18" x14ac:dyDescent="0.25">
      <c r="A4" s="36">
        <f t="shared" ref="A4:A26" ca="1" si="0">A3+RAND()*20+50</f>
        <v>41039.823295436465</v>
      </c>
      <c r="B4" s="1" t="s">
        <v>51</v>
      </c>
      <c r="C4" s="1" t="s">
        <v>52</v>
      </c>
    </row>
    <row r="5" spans="1:18" x14ac:dyDescent="0.25">
      <c r="A5" s="36">
        <f t="shared" ca="1" si="0"/>
        <v>41109.228266959377</v>
      </c>
      <c r="B5" s="1" t="s">
        <v>51</v>
      </c>
      <c r="C5" s="1" t="s">
        <v>52</v>
      </c>
      <c r="E5" s="1" t="s">
        <v>53</v>
      </c>
      <c r="F5" s="1" t="s">
        <v>50</v>
      </c>
      <c r="M5" s="37" t="s">
        <v>50</v>
      </c>
      <c r="N5" s="37"/>
      <c r="O5" s="37"/>
    </row>
    <row r="6" spans="1:18" x14ac:dyDescent="0.25">
      <c r="A6" s="36">
        <f t="shared" ca="1" si="0"/>
        <v>41177.977788739467</v>
      </c>
      <c r="B6" s="1" t="s">
        <v>51</v>
      </c>
      <c r="C6" s="1" t="s">
        <v>52</v>
      </c>
      <c r="E6" s="1" t="s">
        <v>49</v>
      </c>
      <c r="F6" s="1" t="s">
        <v>54</v>
      </c>
      <c r="G6" s="1" t="s">
        <v>55</v>
      </c>
      <c r="H6" s="1" t="s">
        <v>52</v>
      </c>
      <c r="I6" s="1" t="s">
        <v>56</v>
      </c>
      <c r="K6" s="38"/>
      <c r="M6" s="1">
        <v>0.4</v>
      </c>
      <c r="N6" s="1">
        <v>0.4</v>
      </c>
      <c r="O6" s="1">
        <v>0.2</v>
      </c>
      <c r="R6" s="1" t="s">
        <v>57</v>
      </c>
    </row>
    <row r="7" spans="1:18" x14ac:dyDescent="0.25">
      <c r="A7" s="36">
        <f t="shared" ca="1" si="0"/>
        <v>41231.156629112797</v>
      </c>
      <c r="B7" s="1" t="s">
        <v>58</v>
      </c>
      <c r="C7" s="1" t="s">
        <v>52</v>
      </c>
      <c r="E7" s="1" t="s">
        <v>58</v>
      </c>
      <c r="F7" s="39">
        <v>0.8</v>
      </c>
      <c r="G7" s="39">
        <v>0.6</v>
      </c>
      <c r="H7" s="39">
        <v>0.3</v>
      </c>
      <c r="I7" s="39">
        <v>0.56000000000000005</v>
      </c>
      <c r="M7" s="40" t="s">
        <v>54</v>
      </c>
      <c r="N7" s="40" t="s">
        <v>55</v>
      </c>
      <c r="O7" s="40" t="s">
        <v>52</v>
      </c>
    </row>
    <row r="8" spans="1:18" x14ac:dyDescent="0.25">
      <c r="A8" s="36">
        <f t="shared" ca="1" si="0"/>
        <v>41296.12647668142</v>
      </c>
      <c r="B8" s="1" t="s">
        <v>58</v>
      </c>
      <c r="C8" s="1" t="s">
        <v>52</v>
      </c>
      <c r="E8" s="1" t="s">
        <v>51</v>
      </c>
      <c r="F8" s="39">
        <v>0.2</v>
      </c>
      <c r="G8" s="39">
        <v>0.4</v>
      </c>
      <c r="H8" s="39">
        <v>0.7</v>
      </c>
      <c r="I8" s="39">
        <v>0.44</v>
      </c>
      <c r="K8" s="41" t="s">
        <v>49</v>
      </c>
      <c r="L8" s="5" t="s">
        <v>59</v>
      </c>
      <c r="M8" s="38">
        <f>GETPIVOTDATA("Tarih",$E$5,"Pazar Araştırması Sonucu","Olumlu (+)","Gerçekleşen Talep","Yüksek")</f>
        <v>0.8</v>
      </c>
      <c r="N8" s="38">
        <f>GETPIVOTDATA("Tarih",$E$5,"Pazar Araştırması Sonucu","Olumlu (+)","Gerçekleşen Talep","Orta")</f>
        <v>0.6</v>
      </c>
      <c r="O8" s="38">
        <f>GETPIVOTDATA("Tarih",$E$5,"Pazar Araştırması Sonucu","Olumlu (+)","Gerçekleşen Talep","Düşük")</f>
        <v>0.3</v>
      </c>
      <c r="R8" s="1" t="s">
        <v>60</v>
      </c>
    </row>
    <row r="9" spans="1:18" x14ac:dyDescent="0.25">
      <c r="A9" s="36">
        <f t="shared" ca="1" si="0"/>
        <v>41357.021519972965</v>
      </c>
      <c r="B9" s="1" t="s">
        <v>58</v>
      </c>
      <c r="C9" s="1" t="s">
        <v>52</v>
      </c>
      <c r="E9" s="1" t="s">
        <v>56</v>
      </c>
      <c r="F9" s="39">
        <v>1</v>
      </c>
      <c r="G9" s="39">
        <v>1</v>
      </c>
      <c r="H9" s="39">
        <v>1</v>
      </c>
      <c r="I9" s="39">
        <v>1</v>
      </c>
      <c r="K9" s="41"/>
      <c r="L9" s="5" t="s">
        <v>61</v>
      </c>
      <c r="M9" s="38">
        <f>GETPIVOTDATA("Tarih",$E$5,"Pazar Araştırması Sonucu","Olumsuz (-)","Gerçekleşen Talep","Yüksek")</f>
        <v>0.2</v>
      </c>
      <c r="N9" s="38">
        <f>GETPIVOTDATA("Tarih",$E$5,"Pazar Araştırması Sonucu","Olumsuz (-)","Gerçekleşen Talep","Orta")</f>
        <v>0.4</v>
      </c>
      <c r="O9" s="38">
        <f>GETPIVOTDATA("Tarih",$E$5,"Pazar Araştırması Sonucu","Olumsuz (-)","Gerçekleşen Talep","Düşük")</f>
        <v>0.7</v>
      </c>
    </row>
    <row r="10" spans="1:18" x14ac:dyDescent="0.25">
      <c r="A10" s="36">
        <f t="shared" ca="1" si="0"/>
        <v>41416.058097043198</v>
      </c>
      <c r="B10" s="1" t="s">
        <v>51</v>
      </c>
      <c r="C10" s="1" t="s">
        <v>52</v>
      </c>
    </row>
    <row r="11" spans="1:18" x14ac:dyDescent="0.25">
      <c r="A11" s="36">
        <f t="shared" ca="1" si="0"/>
        <v>41478.986840345475</v>
      </c>
      <c r="B11" s="1" t="s">
        <v>51</v>
      </c>
      <c r="C11" s="1" t="s">
        <v>52</v>
      </c>
      <c r="M11" s="29">
        <f t="shared" ref="M11:O12" si="1">M$6*M8</f>
        <v>0.32000000000000006</v>
      </c>
      <c r="N11" s="29">
        <f t="shared" si="1"/>
        <v>0.24</v>
      </c>
      <c r="O11" s="29">
        <f t="shared" si="1"/>
        <v>0.06</v>
      </c>
      <c r="P11" s="38"/>
      <c r="Q11" s="38">
        <f>SUM(M11:O11)</f>
        <v>0.62000000000000011</v>
      </c>
      <c r="R11" s="1" t="s">
        <v>62</v>
      </c>
    </row>
    <row r="12" spans="1:18" x14ac:dyDescent="0.25">
      <c r="A12" s="36">
        <f t="shared" ca="1" si="0"/>
        <v>41533.830052951162</v>
      </c>
      <c r="B12" s="1" t="s">
        <v>51</v>
      </c>
      <c r="C12" s="1" t="s">
        <v>55</v>
      </c>
      <c r="M12" s="29">
        <f t="shared" si="1"/>
        <v>8.0000000000000016E-2</v>
      </c>
      <c r="N12" s="29">
        <f t="shared" si="1"/>
        <v>0.16000000000000003</v>
      </c>
      <c r="O12" s="29">
        <f t="shared" si="1"/>
        <v>0.13999999999999999</v>
      </c>
      <c r="P12" s="38"/>
      <c r="Q12" s="38">
        <f>SUM(M12:O12)</f>
        <v>0.38</v>
      </c>
    </row>
    <row r="13" spans="1:18" x14ac:dyDescent="0.25">
      <c r="A13" s="36">
        <f t="shared" ca="1" si="0"/>
        <v>41585.372033693369</v>
      </c>
      <c r="B13" s="1" t="s">
        <v>51</v>
      </c>
      <c r="C13" s="1" t="s">
        <v>55</v>
      </c>
    </row>
    <row r="14" spans="1:18" x14ac:dyDescent="0.25">
      <c r="A14" s="36">
        <f t="shared" ca="1" si="0"/>
        <v>41652.662046605488</v>
      </c>
      <c r="B14" s="1" t="s">
        <v>58</v>
      </c>
      <c r="C14" s="1" t="s">
        <v>55</v>
      </c>
      <c r="M14" s="29">
        <f t="shared" ref="M14:O15" si="2">M11/$Q11</f>
        <v>0.5161290322580645</v>
      </c>
      <c r="N14" s="29">
        <f t="shared" si="2"/>
        <v>0.38709677419354832</v>
      </c>
      <c r="O14" s="29">
        <f t="shared" si="2"/>
        <v>9.677419354838708E-2</v>
      </c>
      <c r="R14" s="1" t="s">
        <v>63</v>
      </c>
    </row>
    <row r="15" spans="1:18" x14ac:dyDescent="0.25">
      <c r="A15" s="36">
        <f t="shared" ca="1" si="0"/>
        <v>41707.357841502875</v>
      </c>
      <c r="B15" s="1" t="s">
        <v>58</v>
      </c>
      <c r="C15" s="1" t="s">
        <v>55</v>
      </c>
      <c r="M15" s="29">
        <f t="shared" si="2"/>
        <v>0.21052631578947373</v>
      </c>
      <c r="N15" s="29">
        <f t="shared" si="2"/>
        <v>0.42105263157894746</v>
      </c>
      <c r="O15" s="29">
        <f t="shared" si="2"/>
        <v>0.36842105263157893</v>
      </c>
    </row>
    <row r="16" spans="1:18" x14ac:dyDescent="0.25">
      <c r="A16" s="36">
        <f t="shared" ca="1" si="0"/>
        <v>41767.66696841058</v>
      </c>
      <c r="B16" s="1" t="s">
        <v>58</v>
      </c>
      <c r="C16" s="1" t="s">
        <v>55</v>
      </c>
    </row>
    <row r="17" spans="1:3" x14ac:dyDescent="0.25">
      <c r="A17" s="36">
        <f t="shared" ca="1" si="0"/>
        <v>41829.411875643535</v>
      </c>
      <c r="B17" s="1" t="s">
        <v>51</v>
      </c>
      <c r="C17" s="1" t="s">
        <v>54</v>
      </c>
    </row>
    <row r="18" spans="1:3" x14ac:dyDescent="0.25">
      <c r="A18" s="36">
        <f t="shared" ca="1" si="0"/>
        <v>41888.035514483563</v>
      </c>
      <c r="B18" s="1" t="s">
        <v>51</v>
      </c>
      <c r="C18" s="1" t="s">
        <v>54</v>
      </c>
    </row>
    <row r="19" spans="1:3" x14ac:dyDescent="0.25">
      <c r="A19" s="36">
        <f t="shared" ca="1" si="0"/>
        <v>41952.810324498671</v>
      </c>
      <c r="B19" s="1" t="s">
        <v>58</v>
      </c>
      <c r="C19" s="1" t="s">
        <v>54</v>
      </c>
    </row>
    <row r="20" spans="1:3" x14ac:dyDescent="0.25">
      <c r="A20" s="36">
        <f t="shared" ca="1" si="0"/>
        <v>42022.719232617434</v>
      </c>
      <c r="B20" s="1" t="s">
        <v>58</v>
      </c>
      <c r="C20" s="1" t="s">
        <v>54</v>
      </c>
    </row>
    <row r="21" spans="1:3" x14ac:dyDescent="0.25">
      <c r="A21" s="36">
        <f t="shared" ca="1" si="0"/>
        <v>42075.686982969281</v>
      </c>
      <c r="B21" s="1" t="s">
        <v>58</v>
      </c>
      <c r="C21" s="1" t="s">
        <v>54</v>
      </c>
    </row>
    <row r="22" spans="1:3" x14ac:dyDescent="0.25">
      <c r="A22" s="36">
        <f t="shared" ca="1" si="0"/>
        <v>42131.323523330095</v>
      </c>
      <c r="B22" s="1" t="s">
        <v>58</v>
      </c>
      <c r="C22" s="1" t="s">
        <v>54</v>
      </c>
    </row>
    <row r="23" spans="1:3" x14ac:dyDescent="0.25">
      <c r="A23" s="36">
        <f t="shared" ca="1" si="0"/>
        <v>42191.311380420731</v>
      </c>
      <c r="B23" s="1" t="s">
        <v>58</v>
      </c>
      <c r="C23" s="1" t="s">
        <v>54</v>
      </c>
    </row>
    <row r="24" spans="1:3" x14ac:dyDescent="0.25">
      <c r="A24" s="36">
        <f t="shared" ca="1" si="0"/>
        <v>42247.582911622529</v>
      </c>
      <c r="B24" s="1" t="s">
        <v>58</v>
      </c>
      <c r="C24" s="1" t="s">
        <v>54</v>
      </c>
    </row>
    <row r="25" spans="1:3" x14ac:dyDescent="0.25">
      <c r="A25" s="36">
        <f t="shared" ca="1" si="0"/>
        <v>42299.441240906839</v>
      </c>
      <c r="B25" s="1" t="s">
        <v>58</v>
      </c>
      <c r="C25" s="1" t="s">
        <v>54</v>
      </c>
    </row>
    <row r="26" spans="1:3" x14ac:dyDescent="0.25">
      <c r="A26" s="36">
        <f t="shared" ca="1" si="0"/>
        <v>42367.38358948681</v>
      </c>
      <c r="B26" s="1" t="s">
        <v>58</v>
      </c>
      <c r="C26" s="1" t="s">
        <v>54</v>
      </c>
    </row>
    <row r="27" spans="1:3" x14ac:dyDescent="0.25">
      <c r="A27" s="36"/>
    </row>
    <row r="28" spans="1:3" x14ac:dyDescent="0.25">
      <c r="A28" s="36"/>
    </row>
    <row r="29" spans="1:3" x14ac:dyDescent="0.25">
      <c r="A29" s="36"/>
    </row>
    <row r="30" spans="1:3" x14ac:dyDescent="0.25">
      <c r="A30" s="36"/>
    </row>
    <row r="31" spans="1:3" x14ac:dyDescent="0.25">
      <c r="A31" s="36"/>
    </row>
    <row r="32" spans="1:3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</sheetData>
  <mergeCells count="2">
    <mergeCell ref="M5:O5"/>
    <mergeCell ref="K8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Soru.5.1</vt:lpstr>
      <vt:lpstr>Soru.5.2</vt:lpstr>
      <vt:lpstr>Soru.5.3</vt:lpstr>
      <vt:lpstr>Örn.5.1</vt:lpstr>
      <vt:lpstr>Örn.5.2</vt:lpstr>
      <vt:lpstr>Y araşt.şirketi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</dc:creator>
  <cp:lastModifiedBy>Engin</cp:lastModifiedBy>
  <dcterms:created xsi:type="dcterms:W3CDTF">2022-05-25T14:02:38Z</dcterms:created>
  <dcterms:modified xsi:type="dcterms:W3CDTF">2022-05-25T14:09:28Z</dcterms:modified>
</cp:coreProperties>
</file>